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curement 2026\PPMP FY 2026\FOR APP FY 2026 SEMI FINAL\DONE CHECK\"/>
    </mc:Choice>
  </mc:AlternateContent>
  <bookViews>
    <workbookView xWindow="0" yWindow="0" windowWidth="20160" windowHeight="8610"/>
  </bookViews>
  <sheets>
    <sheet name="APP" sheetId="1" r:id="rId1"/>
    <sheet name="how_to_fill_out-definitions" sheetId="2" r:id="rId2"/>
    <sheet name="data_validation" sheetId="3" state="hidden" r:id="rId3"/>
    <sheet name="Object Code" sheetId="4" r:id="rId4"/>
    <sheet name="Funding Source" sheetId="5" r:id="rId5"/>
  </sheets>
  <externalReferences>
    <externalReference r:id="rId6"/>
  </externalReferences>
  <definedNames>
    <definedName name="_xlnm._FilterDatabase" localSheetId="0" hidden="1">APP!$A$4:$AQ$362</definedName>
    <definedName name="_xlnm._FilterDatabase" localSheetId="2" hidden="1">data_validation!$A$1:$A$999</definedName>
    <definedName name="_xlnm._FilterDatabase" localSheetId="4" hidden="1">'Funding Source'!$A$1:$J$440</definedName>
  </definedNames>
  <calcPr calcId="162913"/>
  <extLst>
    <ext uri="GoogleSheetsCustomDataVersion2">
      <go:sheetsCustomData xmlns:go="http://customooxmlschemas.google.com/" r:id="rId10" roundtripDataChecksum="EL7Y1Se4hH+fqPTKAJU0fT9P32iSk/wvwuXaWrPLXdM="/>
    </ext>
  </extLst>
</workbook>
</file>

<file path=xl/calcChain.xml><?xml version="1.0" encoding="utf-8"?>
<calcChain xmlns="http://schemas.openxmlformats.org/spreadsheetml/2006/main">
  <c r="A7" i="1" l="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6" i="1"/>
  <c r="A5" i="1"/>
  <c r="K140" i="1" l="1"/>
  <c r="L140" i="1"/>
  <c r="L107" i="1" l="1"/>
  <c r="K107" i="1"/>
  <c r="K104" i="1"/>
  <c r="L104" i="1"/>
  <c r="L87" i="1" l="1"/>
  <c r="K87" i="1"/>
  <c r="L68" i="1" l="1"/>
  <c r="L65" i="1"/>
  <c r="L64" i="1"/>
  <c r="L63" i="1"/>
  <c r="K68" i="1"/>
  <c r="K65" i="1"/>
  <c r="K64" i="1"/>
  <c r="K63" i="1"/>
  <c r="K6" i="1" l="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40" i="1"/>
  <c r="K41" i="1"/>
  <c r="K42" i="1"/>
  <c r="K43" i="1"/>
  <c r="K44" i="1"/>
  <c r="K45" i="1"/>
  <c r="K46" i="1"/>
  <c r="K47" i="1"/>
  <c r="K48" i="1"/>
  <c r="K49" i="1"/>
  <c r="K50" i="1"/>
  <c r="K51" i="1"/>
  <c r="K52" i="1"/>
  <c r="K53" i="1"/>
  <c r="K5" i="1"/>
  <c r="L39" i="1"/>
  <c r="K39" i="1" s="1"/>
</calcChain>
</file>

<file path=xl/sharedStrings.xml><?xml version="1.0" encoding="utf-8"?>
<sst xmlns="http://schemas.openxmlformats.org/spreadsheetml/2006/main" count="8128" uniqueCount="2046">
  <si>
    <t>Department of Budget and Management Procurement Monitoring Report as of month/day/2006</t>
  </si>
  <si>
    <t xml:space="preserve">   </t>
  </si>
  <si>
    <t>Code (PAP)</t>
  </si>
  <si>
    <t>Procurement     Program/Project</t>
  </si>
  <si>
    <t>Object Code</t>
  </si>
  <si>
    <t>PMO/End-User</t>
  </si>
  <si>
    <t>Mode of Procurement</t>
  </si>
  <si>
    <t>Schedule for Each Procurement Activity</t>
  </si>
  <si>
    <t>Source of Funds</t>
  </si>
  <si>
    <t>Estimated Budget (PhP)</t>
  </si>
  <si>
    <t>Remarks                                                                        (brief description of Program/Activity/Project)</t>
  </si>
  <si>
    <t>PMO/             End-User</t>
  </si>
  <si>
    <t>Contract Cost (PhP)</t>
  </si>
  <si>
    <t>List of Invited Observers</t>
  </si>
  <si>
    <t>Date of Receipt of Invitation</t>
  </si>
  <si>
    <t>Remarks                                                                        (Explaining changes from the APP)</t>
  </si>
  <si>
    <t>Advertisement/Posting of IB/REI</t>
  </si>
  <si>
    <t>Submission/Opening of Bids</t>
  </si>
  <si>
    <t>Notice of Award</t>
  </si>
  <si>
    <t>Contract Signing</t>
  </si>
  <si>
    <t>Total</t>
  </si>
  <si>
    <t>MOOE</t>
  </si>
  <si>
    <t>CO</t>
  </si>
  <si>
    <t>Pre-Proc Conference</t>
  </si>
  <si>
    <t>Ads/Post of IAEB</t>
  </si>
  <si>
    <t>Pre-bid Conf</t>
  </si>
  <si>
    <t>Eligibility Check</t>
  </si>
  <si>
    <t>Sub/Open of Bids</t>
  </si>
  <si>
    <t>Bid Evaluation</t>
  </si>
  <si>
    <t>Post Qual</t>
  </si>
  <si>
    <t>Contract Award</t>
  </si>
  <si>
    <t>Notice to Proceed</t>
  </si>
  <si>
    <t>Delivery/ Accept</t>
  </si>
  <si>
    <t>Payment Process</t>
  </si>
  <si>
    <t>Pre-Proc Conf</t>
  </si>
  <si>
    <t>GUIDE TO PREPARE APP</t>
  </si>
  <si>
    <t>APP COLUMN HEADER/S</t>
  </si>
  <si>
    <t>STEP 1</t>
  </si>
  <si>
    <t>In the Code (PAP) column, kindly indicate the Procuring Entity's (PEs) internal numbering system or use the Unified Account Codes (UACS) may be used as PAP Codes. Please refer to Joint Circular No.2013-1 COA-DBM-DOF-Unified Accounts Code Structure.</t>
  </si>
  <si>
    <t>STEP 2</t>
  </si>
  <si>
    <t>For the Procurement Program/Project column, please align descriptions of program/projects with budget documents and ensure clarity and accuracy in describing each procurement program/project.</t>
  </si>
  <si>
    <t>STEP 3</t>
  </si>
  <si>
    <t>The Object Codes in UACS is based on the Revised Chart of Accounts for National Government Agencies, of the Commission on Audit as adopted under COA Circular No. 2013-00. please indicate the corresponding object code listed on the other sheet based on the identified procurement program/project.</t>
  </si>
  <si>
    <t>STEP 4</t>
  </si>
  <si>
    <t>For PMO/End-User, please indicate the PMO/End-User unit who will implement/utilize the procurement program/project. Multiple end-user units are allowed only if the procurement activity was consolidated by the BAC to procure requirements of the end-user units.</t>
  </si>
  <si>
    <t>STEP 5</t>
  </si>
  <si>
    <t>For Mode of Procurement and Schedule for Each Procurement Activity, all modes of procurement are available as a dropdown list and requirements for a specific schedule for Ads/Post of IB/REI, Sub/Open of Bids, Notice of Award, and/or Contract Signing are automatically identified thru the MS Excel formula. Note that for Foreign-funded procurement, please use Others - Foreign-funded procurement as the Mode of Procurement.
Kindly indicate a specific period (dates, month, quarter) when each Procurement Activity will be done. Please refer to our website: http://www.gppb.gov.ph/timelines/timelines.htm for the specific periods for each activity.
Note: For SVP, IB/REI is similar to RFQ.
Ads/Post of IB/REI for Shopping 52.1(b) and NP-SVP (53.9) needs to be posted in PhilGEPS for ABCs above 50k. Notice of Award posting in PhilGEPS is mandatory for all Alternative Modes only for ABCs above 50k.</t>
  </si>
  <si>
    <t>Date Format:
DD-MMM-YYYY</t>
  </si>
  <si>
    <t>Ads/Post of IB/REI</t>
  </si>
  <si>
    <t>STEP 6</t>
  </si>
  <si>
    <t xml:space="preserve">For Source of Funds, a dropdown list is available (See Funding Source in another sheet to get corresponding fund source in Fund Cluster column). If the Source of Funds the PE will use is not included, please indicate "Others" and specify under the Remarks column. </t>
  </si>
  <si>
    <t>STEP 7</t>
  </si>
  <si>
    <t>For Estimated Budget (PhP), kindly fill out either MOOE or CO columns only. Total ABC column is not editable,  but will automatically compute for the total MOOE and CO components of the project. This breakdown is needed for tracking purposes. Finally, please ensure that amounts indicated are aligned with budget documents.</t>
  </si>
  <si>
    <t>STEP 8</t>
  </si>
  <si>
    <t>Before submission to the GPPB, ensure that the Head of the Procuring Entity (HoPE) approves/signs the APP.</t>
  </si>
  <si>
    <t>GENERAL INFORMATION</t>
  </si>
  <si>
    <t>#1</t>
  </si>
  <si>
    <t>All Cells with Fill Color Orange needs to be filled out by the Agency. This is a visual reminder of blank or improperly filled out cells.</t>
  </si>
  <si>
    <t>#2</t>
  </si>
  <si>
    <t>To ensure that automated indicator which procurement activity needs to be filled out with specific periods, PE must copy entire Excel row with the mode of procurement for the specific procurement program/project and paste on the last sample row "Negotiated Procurement-53.13" in the template.</t>
  </si>
  <si>
    <t>#3</t>
  </si>
  <si>
    <t>If PE wishes to edit formatting and design of borders, fonts, among others of the APP template, it is suggested to utilize the automated formulas in the template before copying contents and reformatting.</t>
  </si>
  <si>
    <t>#4</t>
  </si>
  <si>
    <t>Per Section of 8.0 of DBM Circular No. 587, the Approved Budget for the Contract (ABC) shall be “[t]he amount reflected in the MYCA”. Hence, the ABC in the Annual Procurement Plan (APP) shall be the full amount stated in the MYCA with remarks added on how much will be actually disbursed for that particular fiscal year. Moreover, the Procurement Monitoring Report (PMR) should also reflect full amount in the MYCA if the entire contract was awarded within the fiscal year. Thus, for succeeding years, actual disbursements from the MYCA need not be reflected in the APPs and PMRs, unless current contract with MYCA is terminated and a new procurement activity is undertaken.</t>
  </si>
  <si>
    <t>DEFINITIONS</t>
  </si>
  <si>
    <r>
      <rPr>
        <b/>
        <sz val="11"/>
        <color rgb="FF000000"/>
        <rFont val="Arial"/>
        <family val="2"/>
      </rPr>
      <t>1. PROGRAM (BESF)</t>
    </r>
    <r>
      <rPr>
        <sz val="11"/>
        <color rgb="FF000000"/>
        <rFont val="Arial1"/>
      </rPr>
      <t xml:space="preserve">– A homogeneous group of activities necessary for the performance of a major purpose for </t>
    </r>
    <r>
      <rPr>
        <sz val="11"/>
        <color rgb="FF000000"/>
        <rFont val="Arial1"/>
      </rPr>
      <t xml:space="preserve">which a government agency is established, for the basic maintenance of the agency’s administrative operations or </t>
    </r>
    <r>
      <rPr>
        <sz val="11"/>
        <color rgb="FF000000"/>
        <rFont val="Arial1"/>
      </rPr>
      <t xml:space="preserve">for the provisions of staff support to the agency’s administrative operations or for the provisions of staff support to </t>
    </r>
    <r>
      <rPr>
        <sz val="11"/>
        <color rgb="FF000000"/>
        <rFont val="Arial1"/>
      </rPr>
      <t>the agency’s line functions.</t>
    </r>
  </si>
  <si>
    <r>
      <rPr>
        <b/>
        <sz val="11"/>
        <color rgb="FF000000"/>
        <rFont val="Arial"/>
        <family val="2"/>
      </rPr>
      <t>2. PROJECT (BESF)</t>
    </r>
    <r>
      <rPr>
        <sz val="11"/>
        <color rgb="FF000000"/>
        <rFont val="Arial1"/>
      </rPr>
      <t xml:space="preserve">– Special agency undertakings which are to be carried out within a definite time frame and </t>
    </r>
    <r>
      <rPr>
        <sz val="11"/>
        <color rgb="FF000000"/>
        <rFont val="Arial1"/>
      </rPr>
      <t>which are intended to result in some pre-determined measure of goods and services.</t>
    </r>
  </si>
  <si>
    <r>
      <rPr>
        <b/>
        <sz val="11"/>
        <color rgb="FF000000"/>
        <rFont val="Arial"/>
        <family val="2"/>
      </rPr>
      <t>3. Object Code</t>
    </r>
    <r>
      <rPr>
        <sz val="11"/>
        <color rgb="FF000000"/>
        <rFont val="Arial1"/>
      </rPr>
      <t xml:space="preserve"> - The Object Codes in UACS is based on the Revised Chart of Accounts for National Government Agencies</t>
    </r>
  </si>
  <si>
    <r>
      <rPr>
        <b/>
        <sz val="11"/>
        <color rgb="FF000000"/>
        <rFont val="Arial"/>
        <family val="2"/>
      </rPr>
      <t>3. PMO/End User</t>
    </r>
    <r>
      <rPr>
        <sz val="11"/>
        <color rgb="FF000000"/>
        <rFont val="Arial1"/>
      </rPr>
      <t xml:space="preserve"> - Unit as proponent of program or project</t>
    </r>
  </si>
  <si>
    <r>
      <rPr>
        <b/>
        <sz val="11"/>
        <color rgb="FF000000"/>
        <rFont val="Arial"/>
        <family val="2"/>
      </rPr>
      <t>4. Mode of Procurement</t>
    </r>
    <r>
      <rPr>
        <sz val="11"/>
        <color rgb="FF000000"/>
        <rFont val="Arial1"/>
      </rPr>
      <t xml:space="preserve"> - Competitive Bidding and Alternative Methods including: selective bidding, direct </t>
    </r>
    <r>
      <rPr>
        <sz val="11"/>
        <color rgb="FF000000"/>
        <rFont val="Arial1"/>
      </rPr>
      <t>contracting, repeat order, shopping, and negotiated procurement.</t>
    </r>
  </si>
  <si>
    <r>
      <rPr>
        <b/>
        <sz val="11"/>
        <color rgb="FF000000"/>
        <rFont val="Arial"/>
        <family val="2"/>
      </rPr>
      <t>5. Schedule for Each Procurement Activity</t>
    </r>
    <r>
      <rPr>
        <sz val="11"/>
        <color rgb="FF000000"/>
        <rFont val="Arial1"/>
      </rPr>
      <t xml:space="preserve"> - Major procurement activities (advertising/posting; submission and </t>
    </r>
    <r>
      <rPr>
        <sz val="11"/>
        <color rgb="FF000000"/>
        <rFont val="Arial1"/>
      </rPr>
      <t>receipt/Opening of bids;  award of contract; contract signing).</t>
    </r>
  </si>
  <si>
    <r>
      <rPr>
        <b/>
        <sz val="11"/>
        <color rgb="FF000000"/>
        <rFont val="Arial"/>
        <family val="2"/>
      </rPr>
      <t>6. Source of Funds</t>
    </r>
    <r>
      <rPr>
        <sz val="11"/>
        <color rgb="FF000000"/>
        <rFont val="Arial1"/>
      </rPr>
      <t xml:space="preserve"> - Whether GoP, Foreign Assisted or Special Purpose Fund</t>
    </r>
  </si>
  <si>
    <r>
      <rPr>
        <b/>
        <sz val="11"/>
        <color rgb="FF000000"/>
        <rFont val="Arial"/>
        <family val="2"/>
      </rPr>
      <t xml:space="preserve">7. Estimated Budget </t>
    </r>
    <r>
      <rPr>
        <sz val="11"/>
        <color rgb="FF000000"/>
        <rFont val="Arial1"/>
      </rPr>
      <t>- Agency approved estimate of project/program costs</t>
    </r>
  </si>
  <si>
    <r>
      <rPr>
        <b/>
        <sz val="11"/>
        <color rgb="FF000000"/>
        <rFont val="Arial"/>
        <family val="2"/>
      </rPr>
      <t>8. Remarks</t>
    </r>
    <r>
      <rPr>
        <sz val="11"/>
        <color rgb="FF000000"/>
        <rFont val="Arial1"/>
      </rPr>
      <t xml:space="preserve"> - brief description of program or project</t>
    </r>
  </si>
  <si>
    <t>Competitive Bidding (Public Bidding)</t>
  </si>
  <si>
    <t>Regular Agency Fund (01000000)</t>
  </si>
  <si>
    <t>Competitive Dialogue</t>
  </si>
  <si>
    <t>Foreign Assisted Projects Fund (02000000)</t>
  </si>
  <si>
    <t>Direct Acquisition</t>
  </si>
  <si>
    <t>Special Account - Locally Funded/Domestic Grants Fund (03000000)</t>
  </si>
  <si>
    <t xml:space="preserve">Direct Contracting </t>
  </si>
  <si>
    <t>Special Account - Foreign Assisted/Foreign Grants Fund (04000000)</t>
  </si>
  <si>
    <t>Direct Procurement for Science, Technology and Innovation</t>
  </si>
  <si>
    <t>Internally Generated Funds (05000000)</t>
  </si>
  <si>
    <t>Direct Retail Purchase of POL and Airline Tickets</t>
  </si>
  <si>
    <t>Business Related Funds (06000000)</t>
  </si>
  <si>
    <t>Direct Sales</t>
  </si>
  <si>
    <t>Trust Receipts (07000000)</t>
  </si>
  <si>
    <t>International Competitive Bidding - Others</t>
  </si>
  <si>
    <t>Limited Source Bidding</t>
  </si>
  <si>
    <t>National Competitive Bidding - Others</t>
  </si>
  <si>
    <t>Negotiated Procurement  - Adjacent / Contiguous</t>
  </si>
  <si>
    <t xml:space="preserve">Negotiated Procurement  - Take-over of Contracts </t>
  </si>
  <si>
    <t>Negotiated Procurement - Agency to Agency</t>
  </si>
  <si>
    <t>Negotiated Procurement - Community Participation</t>
  </si>
  <si>
    <t>Negotiated Procurement - Defense Cooperation Agreement</t>
  </si>
  <si>
    <t xml:space="preserve">Negotiated Procurement - Emergency Cases </t>
  </si>
  <si>
    <t xml:space="preserve">Negotiated Procurement - Highly Technical Consultants </t>
  </si>
  <si>
    <t>Negotiated Procurement - Lease of Real Property and Venue</t>
  </si>
  <si>
    <t>Negotiated Procurement - NGO Participation</t>
  </si>
  <si>
    <t>Negotiated Procurement - Two Failed Biddings</t>
  </si>
  <si>
    <t xml:space="preserve">Negotiated Procurement - United Nations Agencies </t>
  </si>
  <si>
    <t>NP - Scientific, Scholarly/Artistic Work, Exclusive Tech. &amp; Media Service</t>
  </si>
  <si>
    <t>Renewal of Contract per Appendix 21 (WETI)</t>
  </si>
  <si>
    <t>Renewal of Regular and Recurring Sevices per Appendix 37</t>
  </si>
  <si>
    <t xml:space="preserve">Repeat Order </t>
  </si>
  <si>
    <t>Shopping - Ordinary/Regular Office Supplies &amp; Equipment</t>
  </si>
  <si>
    <t>Shopping - Others</t>
  </si>
  <si>
    <t xml:space="preserve">Shopping - Unforeseen Contingency </t>
  </si>
  <si>
    <t>Small Value Procurement</t>
  </si>
  <si>
    <t>Unsolicited Offer with Bid Matching</t>
  </si>
  <si>
    <t>Classification</t>
  </si>
  <si>
    <t>Sub-Class</t>
  </si>
  <si>
    <t>Group</t>
  </si>
  <si>
    <t>Object Details</t>
  </si>
  <si>
    <t>Sub-Object Details</t>
  </si>
  <si>
    <t>Object Code - UACS</t>
  </si>
  <si>
    <t>Status</t>
  </si>
  <si>
    <t>Expenses</t>
  </si>
  <si>
    <t>Maintenance and Other Operating Expenses</t>
  </si>
  <si>
    <t>5020000000</t>
  </si>
  <si>
    <t>Traveling Expenses</t>
  </si>
  <si>
    <t>5020100000</t>
  </si>
  <si>
    <t>Traveling Expenses - Local</t>
  </si>
  <si>
    <t>5020101000</t>
  </si>
  <si>
    <t>Active</t>
  </si>
  <si>
    <t>Traveling Expenses - Foreign</t>
  </si>
  <si>
    <t>5020102000</t>
  </si>
  <si>
    <t>Training and Scholarship Expenses</t>
  </si>
  <si>
    <t>5020200000</t>
  </si>
  <si>
    <t>Training Expenses</t>
  </si>
  <si>
    <t>5020201000</t>
  </si>
  <si>
    <t>ICT Training Expenses</t>
  </si>
  <si>
    <t>5020201001</t>
  </si>
  <si>
    <t>5020201002</t>
  </si>
  <si>
    <t>Scholarship Grants/Expenses</t>
  </si>
  <si>
    <t>5020202000</t>
  </si>
  <si>
    <t>Supplies and Materials Expenses</t>
  </si>
  <si>
    <t>5020300000</t>
  </si>
  <si>
    <t>Office Supplies Expenses</t>
  </si>
  <si>
    <t>5020301000</t>
  </si>
  <si>
    <t>ICT Office Supplies</t>
  </si>
  <si>
    <t>5020301001</t>
  </si>
  <si>
    <t>5020301002</t>
  </si>
  <si>
    <t>Accountable Forms Expenses</t>
  </si>
  <si>
    <t>5020302000</t>
  </si>
  <si>
    <t>Non-Accountable Forms Expenses</t>
  </si>
  <si>
    <t>5020303000</t>
  </si>
  <si>
    <t>Animal/Zoological Supplies Expenses</t>
  </si>
  <si>
    <t>5020304000</t>
  </si>
  <si>
    <t>Food Supplies Expenses</t>
  </si>
  <si>
    <t>5020305000</t>
  </si>
  <si>
    <t>Welfare Goods Expense</t>
  </si>
  <si>
    <t>5020306000</t>
  </si>
  <si>
    <t>Welfare Goods Expenses</t>
  </si>
  <si>
    <t>Drugs and Medicines Expenses</t>
  </si>
  <si>
    <t>5020307000</t>
  </si>
  <si>
    <t>Medical, Dental and Laboratory Supplies Expenses</t>
  </si>
  <si>
    <t>5020308000</t>
  </si>
  <si>
    <t>Fuel, Oil and Lubricants Expenses</t>
  </si>
  <si>
    <t>5020309000</t>
  </si>
  <si>
    <t>Agricultural and Marine Supplies Expenses</t>
  </si>
  <si>
    <t>5020310000</t>
  </si>
  <si>
    <t>Textbooks and Instructional Materials Expenses</t>
  </si>
  <si>
    <t>5020311001</t>
  </si>
  <si>
    <t>5020311000</t>
  </si>
  <si>
    <t>Chalk Allowance</t>
  </si>
  <si>
    <t>5020311002</t>
  </si>
  <si>
    <t>Military, Police and Traffic Supplies Expenses</t>
  </si>
  <si>
    <t>5020312000</t>
  </si>
  <si>
    <t>Chemical and Filtering Supplies Expenses</t>
  </si>
  <si>
    <t>5020313000</t>
  </si>
  <si>
    <t>Semi-Expendable Machinery and Equipment Expenses</t>
  </si>
  <si>
    <t>5020321000</t>
  </si>
  <si>
    <t>Machinery</t>
  </si>
  <si>
    <t>5020321001</t>
  </si>
  <si>
    <t>Office Equipment</t>
  </si>
  <si>
    <t>5020321002</t>
  </si>
  <si>
    <t>Information and Communications Technology Equipment</t>
  </si>
  <si>
    <t>5020321003</t>
  </si>
  <si>
    <t>Agricultural and Forestry Equipment</t>
  </si>
  <si>
    <t>5020321004</t>
  </si>
  <si>
    <t>Marine and Fishery Equipment</t>
  </si>
  <si>
    <t>5020321005</t>
  </si>
  <si>
    <t>Airport Equipment</t>
  </si>
  <si>
    <t>5020321006</t>
  </si>
  <si>
    <t>Communications Equipment</t>
  </si>
  <si>
    <t>5020321007</t>
  </si>
  <si>
    <t>Disaster Response and Rescue Equipment</t>
  </si>
  <si>
    <t>5020321008</t>
  </si>
  <si>
    <t>Military Police and Security Equipment</t>
  </si>
  <si>
    <t>5020321009</t>
  </si>
  <si>
    <t>Medical Equipment</t>
  </si>
  <si>
    <t>5020321010</t>
  </si>
  <si>
    <t>Printing Equipment</t>
  </si>
  <si>
    <t>5020321011</t>
  </si>
  <si>
    <t>Sports Equipment</t>
  </si>
  <si>
    <t>5020321012</t>
  </si>
  <si>
    <t>Technical and Scientific Equipment</t>
  </si>
  <si>
    <t>5020321013</t>
  </si>
  <si>
    <t>Other Machinery and Equipment</t>
  </si>
  <si>
    <t>5020321099</t>
  </si>
  <si>
    <t>Semi-Expendable Furniture, Fixtures and Books Expenses</t>
  </si>
  <si>
    <t>5020322000</t>
  </si>
  <si>
    <t>Furniture and Fixtures</t>
  </si>
  <si>
    <t>5020322001</t>
  </si>
  <si>
    <t>Books</t>
  </si>
  <si>
    <t>5020322002</t>
  </si>
  <si>
    <t>Other Supplies and Materials Expenses</t>
  </si>
  <si>
    <t>5020399000</t>
  </si>
  <si>
    <t>Utility Expenses</t>
  </si>
  <si>
    <t>5020400000</t>
  </si>
  <si>
    <t>Water Expenses</t>
  </si>
  <si>
    <t>5020401000</t>
  </si>
  <si>
    <t>Electricity Expenses</t>
  </si>
  <si>
    <t>5020402000</t>
  </si>
  <si>
    <t>Gas/Heating Expenses</t>
  </si>
  <si>
    <t>5020403000</t>
  </si>
  <si>
    <t>Communication Expenses</t>
  </si>
  <si>
    <t>5020500000</t>
  </si>
  <si>
    <t>Postage and Courier Services</t>
  </si>
  <si>
    <t>5020501000</t>
  </si>
  <si>
    <t>Telephone Expenses</t>
  </si>
  <si>
    <t>5020502000</t>
  </si>
  <si>
    <t>Mobile</t>
  </si>
  <si>
    <t>5020502001</t>
  </si>
  <si>
    <t>Landline</t>
  </si>
  <si>
    <t>5020502002</t>
  </si>
  <si>
    <t>Internet Subscription Expenses</t>
  </si>
  <si>
    <t>5020503000</t>
  </si>
  <si>
    <t>Cable, Satellite, Telegraph and Radio Expenses</t>
  </si>
  <si>
    <t>5020504000</t>
  </si>
  <si>
    <t>Awards/Rewards and Prizes</t>
  </si>
  <si>
    <t>5020600000</t>
  </si>
  <si>
    <t>Awards/Rewards Expenses</t>
  </si>
  <si>
    <t>5020601001</t>
  </si>
  <si>
    <t>5020601000</t>
  </si>
  <si>
    <t>Rewards and Incentives</t>
  </si>
  <si>
    <t>5020601002</t>
  </si>
  <si>
    <t>Prizes</t>
  </si>
  <si>
    <t>5020602000</t>
  </si>
  <si>
    <t>Survey, Research, Exploration and Development Expenses</t>
  </si>
  <si>
    <t>5020700000</t>
  </si>
  <si>
    <t>Survey Expenses</t>
  </si>
  <si>
    <t>5020701000</t>
  </si>
  <si>
    <t>Research, Exploration and Development Expenses</t>
  </si>
  <si>
    <t>5020702000</t>
  </si>
  <si>
    <t>ICT Research, Exploration and Development Expenses</t>
  </si>
  <si>
    <t>5020702001</t>
  </si>
  <si>
    <t>5020702002</t>
  </si>
  <si>
    <t>Demolition/Relocation and Desilting/Dredging Expenses</t>
  </si>
  <si>
    <t>5020800000</t>
  </si>
  <si>
    <t>Demolition and Relocation Expenses</t>
  </si>
  <si>
    <t>5020801000</t>
  </si>
  <si>
    <t>Desilting and Dredging Expenses</t>
  </si>
  <si>
    <t>5020802000</t>
  </si>
  <si>
    <t>Generation, Transmission and Distribution Expenses</t>
  </si>
  <si>
    <t>5020900000</t>
  </si>
  <si>
    <t>5020901000</t>
  </si>
  <si>
    <t>ICT Generation, Transmission and Distribution Expenses</t>
  </si>
  <si>
    <t>5020901001</t>
  </si>
  <si>
    <t>5020901002</t>
  </si>
  <si>
    <t>Confidential, Intelligence and Extraordinary Expenses</t>
  </si>
  <si>
    <t>5021000000</t>
  </si>
  <si>
    <t>Confidential Expenses</t>
  </si>
  <si>
    <t>5021001000</t>
  </si>
  <si>
    <t>Intelligence Expenses</t>
  </si>
  <si>
    <t>5021002000</t>
  </si>
  <si>
    <t>Extraordinary and Miscellaneous Expenses</t>
  </si>
  <si>
    <t>5021003000</t>
  </si>
  <si>
    <t>Professional Services</t>
  </si>
  <si>
    <t>5021100000</t>
  </si>
  <si>
    <t xml:space="preserve">Legal Services </t>
  </si>
  <si>
    <t>5021101000</t>
  </si>
  <si>
    <t>Legal Services</t>
  </si>
  <si>
    <t>Auditing Services</t>
  </si>
  <si>
    <t>5021102000</t>
  </si>
  <si>
    <t>Consultancy Services</t>
  </si>
  <si>
    <t>5021103000</t>
  </si>
  <si>
    <t>ICT Consultancy Services</t>
  </si>
  <si>
    <t>5021103001</t>
  </si>
  <si>
    <t>5021103002</t>
  </si>
  <si>
    <t>Other Professional Services</t>
  </si>
  <si>
    <t>5021199000</t>
  </si>
  <si>
    <t>General Services</t>
  </si>
  <si>
    <t>5021200000</t>
  </si>
  <si>
    <t>Environment/Sanitary Services</t>
  </si>
  <si>
    <t>5021201000</t>
  </si>
  <si>
    <t>Janitorial Services</t>
  </si>
  <si>
    <t>5021202000</t>
  </si>
  <si>
    <t>Security Services</t>
  </si>
  <si>
    <t>5021203000</t>
  </si>
  <si>
    <t>Other General Services</t>
  </si>
  <si>
    <t>5021299000</t>
  </si>
  <si>
    <t>Other General Services - ICT Services</t>
  </si>
  <si>
    <t>5021299001</t>
  </si>
  <si>
    <t>5021299099</t>
  </si>
  <si>
    <t>Repairs and Maintenance</t>
  </si>
  <si>
    <t>5021300000</t>
  </si>
  <si>
    <t>Repairs and Maintenance - Investment Property</t>
  </si>
  <si>
    <t>5021301000</t>
  </si>
  <si>
    <t>Repairs and Maintenance - Land Improvements</t>
  </si>
  <si>
    <t>5021302000</t>
  </si>
  <si>
    <t>Aquaculture Structures</t>
  </si>
  <si>
    <t>5021302001</t>
  </si>
  <si>
    <t>Reforestation Projects</t>
  </si>
  <si>
    <t>5021302002</t>
  </si>
  <si>
    <t>Other Land Improvements</t>
  </si>
  <si>
    <t>5021302099</t>
  </si>
  <si>
    <t>Repairs and Maintenance - Infrastructure Assets</t>
  </si>
  <si>
    <t>5021303000</t>
  </si>
  <si>
    <t>Road Networks</t>
  </si>
  <si>
    <t>5021303001</t>
  </si>
  <si>
    <t>Flood Control Systems</t>
  </si>
  <si>
    <t>5021303002</t>
  </si>
  <si>
    <t>Sewer Systems</t>
  </si>
  <si>
    <t>5021303003</t>
  </si>
  <si>
    <t>Water Supply Systems</t>
  </si>
  <si>
    <t>5021303004</t>
  </si>
  <si>
    <t>Power Supply Systems</t>
  </si>
  <si>
    <t>5021303005</t>
  </si>
  <si>
    <t>Communication Networks</t>
  </si>
  <si>
    <t>5021303006</t>
  </si>
  <si>
    <t>Seaport Systems</t>
  </si>
  <si>
    <t>5021303007</t>
  </si>
  <si>
    <t>Airport Systems</t>
  </si>
  <si>
    <t>5021303008</t>
  </si>
  <si>
    <t>Parks, Plazas, and Monuments</t>
  </si>
  <si>
    <t>5021303009</t>
  </si>
  <si>
    <t>Other Infrastructure Assets</t>
  </si>
  <si>
    <t>5021303099</t>
  </si>
  <si>
    <t>Repairs and Maintenance - Buildings and Other Structures</t>
  </si>
  <si>
    <t>5021304000</t>
  </si>
  <si>
    <t>Buildings</t>
  </si>
  <si>
    <t>5021304001</t>
  </si>
  <si>
    <t>School Buildings</t>
  </si>
  <si>
    <t>5021304002</t>
  </si>
  <si>
    <t>Hospitals and Health Centers</t>
  </si>
  <si>
    <t>5021304003</t>
  </si>
  <si>
    <t>Markets</t>
  </si>
  <si>
    <t>5021304004</t>
  </si>
  <si>
    <t>Slaughterhouses</t>
  </si>
  <si>
    <t>5021304005</t>
  </si>
  <si>
    <t>Hotels and Dormitories</t>
  </si>
  <si>
    <t>5021304006</t>
  </si>
  <si>
    <t>Other Structures</t>
  </si>
  <si>
    <t>5021304099</t>
  </si>
  <si>
    <t>Repairs and Maintenance - Machinery and Equipment</t>
  </si>
  <si>
    <t>5021305000</t>
  </si>
  <si>
    <t>5021305001</t>
  </si>
  <si>
    <t>5021305002</t>
  </si>
  <si>
    <t>Information and Communication Technology Equipment</t>
  </si>
  <si>
    <t>5021305003</t>
  </si>
  <si>
    <t>5021305004</t>
  </si>
  <si>
    <t>5021305005</t>
  </si>
  <si>
    <t>5021305006</t>
  </si>
  <si>
    <t>Communication Equipment</t>
  </si>
  <si>
    <t>5021305007</t>
  </si>
  <si>
    <t>Construction and Heavy Equipment</t>
  </si>
  <si>
    <t>5021305008</t>
  </si>
  <si>
    <t>5021305009</t>
  </si>
  <si>
    <t>Military, Police and Security Equipment</t>
  </si>
  <si>
    <t>5021305010</t>
  </si>
  <si>
    <t>5021305011</t>
  </si>
  <si>
    <t>5021305012</t>
  </si>
  <si>
    <t>5021305013</t>
  </si>
  <si>
    <t>5021305014</t>
  </si>
  <si>
    <t>5021305099</t>
  </si>
  <si>
    <t>Repairs and Maintenance - Transportation Equipment</t>
  </si>
  <si>
    <t>5021306000</t>
  </si>
  <si>
    <t>Motor Vehicles</t>
  </si>
  <si>
    <t>5021306001</t>
  </si>
  <si>
    <t>Trains</t>
  </si>
  <si>
    <t>5021306002</t>
  </si>
  <si>
    <t>Aircrafts and Aircrafts Ground Equipment</t>
  </si>
  <si>
    <t>5021306003</t>
  </si>
  <si>
    <t>Watercrafts</t>
  </si>
  <si>
    <t>5021306004</t>
  </si>
  <si>
    <t>Other Transportation Equipment</t>
  </si>
  <si>
    <t>5021306099</t>
  </si>
  <si>
    <t>Repairs and Maintenance - Furniture and Fixtures</t>
  </si>
  <si>
    <t>5021307000</t>
  </si>
  <si>
    <t>Repairs and Maintenance -  Furniture and Fixtures</t>
  </si>
  <si>
    <t>Repairs and Maintenance - Leased Assets</t>
  </si>
  <si>
    <t>5021308000</t>
  </si>
  <si>
    <t>Buildings and Other Structures</t>
  </si>
  <si>
    <t>5021308001</t>
  </si>
  <si>
    <t>Machinery and Equipment</t>
  </si>
  <si>
    <t>5021308002</t>
  </si>
  <si>
    <t>Transportation Equipment</t>
  </si>
  <si>
    <t>5021308003</t>
  </si>
  <si>
    <t>ICT Machinery and Equipment</t>
  </si>
  <si>
    <t>5021308004</t>
  </si>
  <si>
    <t>Other Leased Assets</t>
  </si>
  <si>
    <t>5021308099</t>
  </si>
  <si>
    <t>Repairs and Maintenance - Leased Assets Improvements</t>
  </si>
  <si>
    <t>5021309000</t>
  </si>
  <si>
    <t>Land</t>
  </si>
  <si>
    <t>5021309001</t>
  </si>
  <si>
    <t>5021309002</t>
  </si>
  <si>
    <t>Other Leased Assets Improvements</t>
  </si>
  <si>
    <t>5021309099</t>
  </si>
  <si>
    <t>Restoration and Maintenance - Heritage Assets</t>
  </si>
  <si>
    <t>5021310000</t>
  </si>
  <si>
    <t>Historical Buildings</t>
  </si>
  <si>
    <t>5021310001</t>
  </si>
  <si>
    <t>Works of Arts and Archeological Specimens</t>
  </si>
  <si>
    <t>5021310002</t>
  </si>
  <si>
    <t>Other Heritage Assets</t>
  </si>
  <si>
    <t>5021310099</t>
  </si>
  <si>
    <t>Repairs and Maintenance - Semi-Expendable Machinery and Equipment</t>
  </si>
  <si>
    <t>5021321000</t>
  </si>
  <si>
    <t>5021321001</t>
  </si>
  <si>
    <t>5021321002</t>
  </si>
  <si>
    <t>5021321003</t>
  </si>
  <si>
    <t>5021321004</t>
  </si>
  <si>
    <t>5021321005</t>
  </si>
  <si>
    <t>5021321007</t>
  </si>
  <si>
    <t>5021321008</t>
  </si>
  <si>
    <t>5021321009</t>
  </si>
  <si>
    <t>5021321010</t>
  </si>
  <si>
    <t>5021321011</t>
  </si>
  <si>
    <t>5021321012</t>
  </si>
  <si>
    <t>5021321013</t>
  </si>
  <si>
    <t>5021321099</t>
  </si>
  <si>
    <t>Repairs and Maintenance - Semi-Expendable Furniture, Fixtures and Books</t>
  </si>
  <si>
    <t>5021322000</t>
  </si>
  <si>
    <t>5021322001</t>
  </si>
  <si>
    <t>5021322002</t>
  </si>
  <si>
    <t>Repairs and Maintenance - Other Property, Plant and Equipment</t>
  </si>
  <si>
    <t>5021399000</t>
  </si>
  <si>
    <t>Work/Zoo Animals</t>
  </si>
  <si>
    <t>5021399001</t>
  </si>
  <si>
    <t>Other Property, Plant and Equipment</t>
  </si>
  <si>
    <t>5021399099</t>
  </si>
  <si>
    <t>Financial Assistance/Subsidy</t>
  </si>
  <si>
    <t>5021400000</t>
  </si>
  <si>
    <t>Subsidy to NGAs</t>
  </si>
  <si>
    <t>5021401000</t>
  </si>
  <si>
    <t>Financial Assistance to NGAs</t>
  </si>
  <si>
    <t>5021402000</t>
  </si>
  <si>
    <t>Financial Assistance to Local Government Units</t>
  </si>
  <si>
    <t>5021403000</t>
  </si>
  <si>
    <t>Tobacco Excise Tax (Virginia) per R.A. 7171</t>
  </si>
  <si>
    <t>5021403001</t>
  </si>
  <si>
    <t>Tobacco Excise Tax (Burley and Native) per R.A. 8240 / 10351</t>
  </si>
  <si>
    <t>5021403002</t>
  </si>
  <si>
    <t>Mining Taxes per R.A. 7160</t>
  </si>
  <si>
    <t>5021403003</t>
  </si>
  <si>
    <t>Royalties per R.A. 7160</t>
  </si>
  <si>
    <t>5021403004</t>
  </si>
  <si>
    <t>Forestry Charges per R.A. 7160</t>
  </si>
  <si>
    <t>5021403005</t>
  </si>
  <si>
    <t>Fishery Charges per R.A. 7160</t>
  </si>
  <si>
    <t>5021403006</t>
  </si>
  <si>
    <t>Renewable Energy charges per R.A. 9513</t>
  </si>
  <si>
    <t>5021403007</t>
  </si>
  <si>
    <t>Income Tax Collections in ECO ZONES per R.A. 7922 and R.A. 8748</t>
  </si>
  <si>
    <t>5021403008</t>
  </si>
  <si>
    <t>Value Added Tax per R.A. 7643</t>
  </si>
  <si>
    <t>5021403009</t>
  </si>
  <si>
    <t>Value Added Tax in lieu of Franchise Tax per R.A. 7953 and R.A. 8407</t>
  </si>
  <si>
    <t>5021403010</t>
  </si>
  <si>
    <t>Budgetary Support to Government-Owned and/or Controlled Corporations</t>
  </si>
  <si>
    <t>5021404000</t>
  </si>
  <si>
    <t>Subsidy Support to Operations of GOCCs</t>
  </si>
  <si>
    <t>5021404001</t>
  </si>
  <si>
    <t>5021404002</t>
  </si>
  <si>
    <t>5021404003</t>
  </si>
  <si>
    <t>5021404004</t>
  </si>
  <si>
    <t>5021404005</t>
  </si>
  <si>
    <t>5021404006</t>
  </si>
  <si>
    <t>5021404007</t>
  </si>
  <si>
    <t>5021404008</t>
  </si>
  <si>
    <t>5021404009</t>
  </si>
  <si>
    <t>Parks, Plazas and Monuments</t>
  </si>
  <si>
    <t>5021404010</t>
  </si>
  <si>
    <t>Irrigation Systems</t>
  </si>
  <si>
    <t>5021404011</t>
  </si>
  <si>
    <t>Railway Systems</t>
  </si>
  <si>
    <t>5021404012</t>
  </si>
  <si>
    <t>Housing and Community Facilities</t>
  </si>
  <si>
    <t>5021404013</t>
  </si>
  <si>
    <t>5021404099</t>
  </si>
  <si>
    <t>Financial Assistance to NGOs/POs</t>
  </si>
  <si>
    <t>5021405000</t>
  </si>
  <si>
    <t>Internal Revenue Allotment</t>
  </si>
  <si>
    <t>5021406000</t>
  </si>
  <si>
    <t>Subsidy to Regional Offices/Staff Bureaus</t>
  </si>
  <si>
    <t>5021407000</t>
  </si>
  <si>
    <t>Subsidy to Operating Units</t>
  </si>
  <si>
    <t>5021408000</t>
  </si>
  <si>
    <t>Subsidy to Other Funds</t>
  </si>
  <si>
    <t>5021409000</t>
  </si>
  <si>
    <t>Subsidies - Others</t>
  </si>
  <si>
    <t>5021499000</t>
  </si>
  <si>
    <t>Taxes, Insurance Premiums and Other Fees</t>
  </si>
  <si>
    <t>5021500000</t>
  </si>
  <si>
    <t>Taxes, Duties and Licenses</t>
  </si>
  <si>
    <t>5021501001</t>
  </si>
  <si>
    <t>5021501000</t>
  </si>
  <si>
    <t>Tax Refund</t>
  </si>
  <si>
    <t>5021501002</t>
  </si>
  <si>
    <t>Fidelity Bond Premiums</t>
  </si>
  <si>
    <t>5021502000</t>
  </si>
  <si>
    <t>Insurance Expenses</t>
  </si>
  <si>
    <t>5021503000</t>
  </si>
  <si>
    <t>Labor and Wages</t>
  </si>
  <si>
    <t>5021601000</t>
  </si>
  <si>
    <t>Other Maintenance and Operating Expenses</t>
  </si>
  <si>
    <t>5029900000</t>
  </si>
  <si>
    <t>Advertising Expenses</t>
  </si>
  <si>
    <t>5029901000</t>
  </si>
  <si>
    <t>Printing and Publication Expenses</t>
  </si>
  <si>
    <t>5029902000</t>
  </si>
  <si>
    <t>Representation Expenses</t>
  </si>
  <si>
    <t>5029903000</t>
  </si>
  <si>
    <t>Transportation and Delivery Expenses</t>
  </si>
  <si>
    <t>5029904000</t>
  </si>
  <si>
    <t>Rent/Lease Expenses</t>
  </si>
  <si>
    <t>5029905000</t>
  </si>
  <si>
    <t>Rents - Building and Structures</t>
  </si>
  <si>
    <t>5029905001</t>
  </si>
  <si>
    <t>Rents - Land</t>
  </si>
  <si>
    <t>5029905002</t>
  </si>
  <si>
    <t>Rents - Motor Vehicles</t>
  </si>
  <si>
    <t>5029905003</t>
  </si>
  <si>
    <t>Rents - Equipment</t>
  </si>
  <si>
    <t>5029905004</t>
  </si>
  <si>
    <t>Rents - Living Quarters</t>
  </si>
  <si>
    <t>5029905005</t>
  </si>
  <si>
    <t>Operating Lease</t>
  </si>
  <si>
    <t>5029905006</t>
  </si>
  <si>
    <t>Financial Lease</t>
  </si>
  <si>
    <t>5029905007</t>
  </si>
  <si>
    <t>Rents - ICT Machinery and Equipment</t>
  </si>
  <si>
    <t>5029905008</t>
  </si>
  <si>
    <t>Membership Dues and Contributions to Organizations</t>
  </si>
  <si>
    <t>5029906000</t>
  </si>
  <si>
    <t>Subscription Expenses</t>
  </si>
  <si>
    <t>5029907000</t>
  </si>
  <si>
    <t>ICT Software Subscription</t>
  </si>
  <si>
    <t>5029907001</t>
  </si>
  <si>
    <t>Data Center Service</t>
  </si>
  <si>
    <t>5029907002</t>
  </si>
  <si>
    <t>Cloud Computing Service</t>
  </si>
  <si>
    <t>5029907003</t>
  </si>
  <si>
    <t>Library and Other Reading Materials Subscription Expenses</t>
  </si>
  <si>
    <t>5029907004</t>
  </si>
  <si>
    <t>Other Subscription Expenses</t>
  </si>
  <si>
    <t>5029907099</t>
  </si>
  <si>
    <t>Donations</t>
  </si>
  <si>
    <t>5029908000</t>
  </si>
  <si>
    <t>Litigation/Acquired Assets Expenses</t>
  </si>
  <si>
    <t>5029909000</t>
  </si>
  <si>
    <t>5029999000</t>
  </si>
  <si>
    <t>Inactive</t>
  </si>
  <si>
    <t>Website Maintenance</t>
  </si>
  <si>
    <t>5029999001</t>
  </si>
  <si>
    <t>5029999099</t>
  </si>
  <si>
    <t>Capital Outlays</t>
  </si>
  <si>
    <t>5060000000</t>
  </si>
  <si>
    <t>Investment Outlay</t>
  </si>
  <si>
    <t>5060100000</t>
  </si>
  <si>
    <t>Investment in Government-Owned and/or Controlled Corporations</t>
  </si>
  <si>
    <t>5060101001</t>
  </si>
  <si>
    <t>5060101000</t>
  </si>
  <si>
    <t>5060101002</t>
  </si>
  <si>
    <t>5060101003</t>
  </si>
  <si>
    <t>5060101004</t>
  </si>
  <si>
    <t>5060101005</t>
  </si>
  <si>
    <t>5060101006</t>
  </si>
  <si>
    <t>5060101007</t>
  </si>
  <si>
    <t>5060101008</t>
  </si>
  <si>
    <t>5060101009</t>
  </si>
  <si>
    <t>5060101010</t>
  </si>
  <si>
    <t>5060101011</t>
  </si>
  <si>
    <t>5060101012</t>
  </si>
  <si>
    <t>5060101099</t>
  </si>
  <si>
    <t>Investment in Associates</t>
  </si>
  <si>
    <t>5060102000</t>
  </si>
  <si>
    <t>Loans Outlay</t>
  </si>
  <si>
    <t>5060200000</t>
  </si>
  <si>
    <t>Loans Outlay - Government-Owned and/or Controlled Corporations</t>
  </si>
  <si>
    <t>5060201000</t>
  </si>
  <si>
    <t>Loans Outlay - Local Government Units</t>
  </si>
  <si>
    <t>5060202000</t>
  </si>
  <si>
    <t>Loans Outlay - Others</t>
  </si>
  <si>
    <t>5060299000</t>
  </si>
  <si>
    <t>Investment Property Outlay</t>
  </si>
  <si>
    <t>5060300000</t>
  </si>
  <si>
    <t>Land and Buildings Outlay</t>
  </si>
  <si>
    <t>5060301000</t>
  </si>
  <si>
    <t>Investment Property - Land</t>
  </si>
  <si>
    <t>5060301001</t>
  </si>
  <si>
    <t>Investment Property - Buildings</t>
  </si>
  <si>
    <t>5060301002</t>
  </si>
  <si>
    <t>Property, Plant and Equipment Outlay</t>
  </si>
  <si>
    <t>5060400000</t>
  </si>
  <si>
    <t>Land Outlay</t>
  </si>
  <si>
    <t>5060401000</t>
  </si>
  <si>
    <t>5060401001</t>
  </si>
  <si>
    <t>Land Improvements Outlay</t>
  </si>
  <si>
    <t>5060402000</t>
  </si>
  <si>
    <t>5060402001</t>
  </si>
  <si>
    <t>5060402002</t>
  </si>
  <si>
    <t>5060402099</t>
  </si>
  <si>
    <t>Infrastructure Outlay</t>
  </si>
  <si>
    <t>5060403000</t>
  </si>
  <si>
    <t>5060403001</t>
  </si>
  <si>
    <t>5060403002</t>
  </si>
  <si>
    <t>5060403003</t>
  </si>
  <si>
    <t>5060403004</t>
  </si>
  <si>
    <t>5060403005</t>
  </si>
  <si>
    <t>5060403006</t>
  </si>
  <si>
    <t>5060403007</t>
  </si>
  <si>
    <t>5060403008</t>
  </si>
  <si>
    <t>5060403009</t>
  </si>
  <si>
    <t>5060403010</t>
  </si>
  <si>
    <t>Right-of-Way</t>
  </si>
  <si>
    <t>5060403011</t>
  </si>
  <si>
    <t>5060403099</t>
  </si>
  <si>
    <t>5060404000</t>
  </si>
  <si>
    <t>5060404001</t>
  </si>
  <si>
    <t>5060404002</t>
  </si>
  <si>
    <t>5060404003</t>
  </si>
  <si>
    <t>5060404004</t>
  </si>
  <si>
    <t>5060404005</t>
  </si>
  <si>
    <t>Hostels and Dormitories</t>
  </si>
  <si>
    <t>5060404006</t>
  </si>
  <si>
    <t>Ground Water Monitoring Stations</t>
  </si>
  <si>
    <t>5060404007</t>
  </si>
  <si>
    <t>5060404099</t>
  </si>
  <si>
    <t>Machinery and Equipment Outlay</t>
  </si>
  <si>
    <t>5060405000</t>
  </si>
  <si>
    <t>5060405001</t>
  </si>
  <si>
    <t>5060405002</t>
  </si>
  <si>
    <t>5060405003</t>
  </si>
  <si>
    <t>5060405004</t>
  </si>
  <si>
    <t>5060405005</t>
  </si>
  <si>
    <t>5060405006</t>
  </si>
  <si>
    <t>5060405007</t>
  </si>
  <si>
    <t>5060405008</t>
  </si>
  <si>
    <t>5060405009</t>
  </si>
  <si>
    <t>5060405010</t>
  </si>
  <si>
    <t>5060405011</t>
  </si>
  <si>
    <t>5060405012</t>
  </si>
  <si>
    <t>5060405013</t>
  </si>
  <si>
    <t>5060405014</t>
  </si>
  <si>
    <t>ICT Software</t>
  </si>
  <si>
    <t>5060405015</t>
  </si>
  <si>
    <t>5060405099</t>
  </si>
  <si>
    <t>Transportation Equipment Outlay</t>
  </si>
  <si>
    <t>5060406000</t>
  </si>
  <si>
    <t>5060406001</t>
  </si>
  <si>
    <t>5060406002</t>
  </si>
  <si>
    <t>5060406003</t>
  </si>
  <si>
    <t>5060406004</t>
  </si>
  <si>
    <t>5060406099</t>
  </si>
  <si>
    <t>Furniture, Fixtures and Books Outlay</t>
  </si>
  <si>
    <t>5060407000</t>
  </si>
  <si>
    <t>5060407001</t>
  </si>
  <si>
    <t>5060407002</t>
  </si>
  <si>
    <t>Heritage Assets</t>
  </si>
  <si>
    <t>5060408000</t>
  </si>
  <si>
    <t>5060408001</t>
  </si>
  <si>
    <t>5060408002</t>
  </si>
  <si>
    <t>5060408099</t>
  </si>
  <si>
    <t>Other Property Plant and Equipment Outlay</t>
  </si>
  <si>
    <t>5060409000</t>
  </si>
  <si>
    <t>5060409001</t>
  </si>
  <si>
    <t>5060409099</t>
  </si>
  <si>
    <t>Leased Assets Improvements</t>
  </si>
  <si>
    <t>5060410000</t>
  </si>
  <si>
    <t>5060410099</t>
  </si>
  <si>
    <t>Biological Assets Outlay</t>
  </si>
  <si>
    <t>5060500000</t>
  </si>
  <si>
    <t>Bearer Biological Assets Outlay</t>
  </si>
  <si>
    <t>5060501000</t>
  </si>
  <si>
    <t>Breeding Stocks</t>
  </si>
  <si>
    <t>5060501001</t>
  </si>
  <si>
    <t>Livestock</t>
  </si>
  <si>
    <t>5060501002</t>
  </si>
  <si>
    <t>Trees, Plants and Crops</t>
  </si>
  <si>
    <t>5060501003</t>
  </si>
  <si>
    <t>Aquaculture</t>
  </si>
  <si>
    <t>5060501004</t>
  </si>
  <si>
    <t>Other Bearer Biological Assets</t>
  </si>
  <si>
    <t>5060501099</t>
  </si>
  <si>
    <t>Intangible Assets Outlay</t>
  </si>
  <si>
    <t>5060600000</t>
  </si>
  <si>
    <t>Patents/Copyrights</t>
  </si>
  <si>
    <t>5060601000</t>
  </si>
  <si>
    <t>Computer Software</t>
  </si>
  <si>
    <t>5060602000</t>
  </si>
  <si>
    <t>Other Intangible Assets</t>
  </si>
  <si>
    <t>5060699000</t>
  </si>
  <si>
    <t>Fund Cluster</t>
  </si>
  <si>
    <t>Financing Source</t>
  </si>
  <si>
    <t>Authorization</t>
  </si>
  <si>
    <t>Fund Category</t>
  </si>
  <si>
    <t>Fund Sub-Category</t>
  </si>
  <si>
    <t>Description</t>
  </si>
  <si>
    <t>Deparment</t>
  </si>
  <si>
    <t>Agency</t>
  </si>
  <si>
    <t>UACS</t>
  </si>
  <si>
    <t>Regular Agency Fund</t>
  </si>
  <si>
    <t>General Fund</t>
  </si>
  <si>
    <t>New General Appropriations</t>
  </si>
  <si>
    <t>Specific Budgets of National Government Agencies</t>
  </si>
  <si>
    <t>01101101</t>
  </si>
  <si>
    <t>ARMM-DepEd's GSIS Contribution</t>
  </si>
  <si>
    <t>01101111</t>
  </si>
  <si>
    <t>Allocations to Local Government Units</t>
  </si>
  <si>
    <t>Special Shares of LGUs in the Proceeds of National Taxes</t>
  </si>
  <si>
    <t>01101252</t>
  </si>
  <si>
    <t>Barangay Officials Death Benefits Fund</t>
  </si>
  <si>
    <t>01101253</t>
  </si>
  <si>
    <t>Local Government Support Fund (formerly Financial Subsidy to LGUs)</t>
  </si>
  <si>
    <t>01101254</t>
  </si>
  <si>
    <t>Special Shares of LGUs in the Proceeds of Fire Code Fees</t>
  </si>
  <si>
    <t>01101255</t>
  </si>
  <si>
    <t>Barangay Officials Death Benefits</t>
  </si>
  <si>
    <t>01101256</t>
  </si>
  <si>
    <t>Bangsamoro Autonomous Region in Muslim Mindanao (BARMM)</t>
  </si>
  <si>
    <t>01101257</t>
  </si>
  <si>
    <t>Budgetary Support to Government Corporations</t>
  </si>
  <si>
    <t>Equity Contribution</t>
  </si>
  <si>
    <t>Budgetary Support to Government Corporations (BSGC)</t>
  </si>
  <si>
    <t>01101276</t>
  </si>
  <si>
    <t>Subsidies</t>
  </si>
  <si>
    <t>01101277</t>
  </si>
  <si>
    <t>Loans</t>
  </si>
  <si>
    <t>01101278</t>
  </si>
  <si>
    <t>Advances</t>
  </si>
  <si>
    <t>01101279</t>
  </si>
  <si>
    <t>Financial Assistance to Metropolitan Manila Development Authority</t>
  </si>
  <si>
    <t>01101301</t>
  </si>
  <si>
    <t>Special Purpose Funds</t>
  </si>
  <si>
    <t>National Disaster Risk Reduction and Management Fund ( Calamity Fund )</t>
  </si>
  <si>
    <t>01101401</t>
  </si>
  <si>
    <t>Contingent Fund</t>
  </si>
  <si>
    <t>01101402</t>
  </si>
  <si>
    <t>DepEd - School Building Program/Educational Facilities Fund</t>
  </si>
  <si>
    <t>Department of Education (DepEd)</t>
  </si>
  <si>
    <t>Office of the Secretary</t>
  </si>
  <si>
    <t>01101403</t>
  </si>
  <si>
    <t>E-Government Fund</t>
  </si>
  <si>
    <t>01101404</t>
  </si>
  <si>
    <t>International Commitments Fund</t>
  </si>
  <si>
    <t>01101405</t>
  </si>
  <si>
    <t>Miscellaneous Personnel Benefits Fund</t>
  </si>
  <si>
    <t>01101406</t>
  </si>
  <si>
    <t>Pension and Gratuity Fund</t>
  </si>
  <si>
    <t>01101407</t>
  </si>
  <si>
    <t>Priority Development Assistance Fund</t>
  </si>
  <si>
    <t>01101408</t>
  </si>
  <si>
    <t>Allocation for Capital Outlays of State Universities and Colleges (SUCs)</t>
  </si>
  <si>
    <t>Other Executive Offices (OEOs)</t>
  </si>
  <si>
    <t>Commission on Higher Education</t>
  </si>
  <si>
    <t>01101409</t>
  </si>
  <si>
    <t>Feasibility Studies Fund</t>
  </si>
  <si>
    <t>01101410</t>
  </si>
  <si>
    <t>Rehabilitation and Reconstruction Program</t>
  </si>
  <si>
    <t>01101411</t>
  </si>
  <si>
    <t>BSGC - Others</t>
  </si>
  <si>
    <t>01101412</t>
  </si>
  <si>
    <t>Section 4(v), Republic Act No. 11469</t>
  </si>
  <si>
    <t>01101413</t>
  </si>
  <si>
    <t>Section 11(b), Republic Act No. 11494</t>
  </si>
  <si>
    <t>01101414</t>
  </si>
  <si>
    <t>Overall Savings</t>
  </si>
  <si>
    <t>01101999</t>
  </si>
  <si>
    <t>Continuing Appropriations</t>
  </si>
  <si>
    <t>01102101</t>
  </si>
  <si>
    <t>01102111</t>
  </si>
  <si>
    <t>01102252</t>
  </si>
  <si>
    <t>01102253</t>
  </si>
  <si>
    <t>01102254</t>
  </si>
  <si>
    <t>01102255</t>
  </si>
  <si>
    <t>01102256</t>
  </si>
  <si>
    <t>01102257</t>
  </si>
  <si>
    <t>01102276</t>
  </si>
  <si>
    <t>01102277</t>
  </si>
  <si>
    <t>01102278</t>
  </si>
  <si>
    <t>01102279</t>
  </si>
  <si>
    <t>01102401</t>
  </si>
  <si>
    <t>01102402</t>
  </si>
  <si>
    <t>01102403</t>
  </si>
  <si>
    <t>01102404</t>
  </si>
  <si>
    <t>01102405</t>
  </si>
  <si>
    <t>01102406</t>
  </si>
  <si>
    <t>01102407</t>
  </si>
  <si>
    <t>01102408</t>
  </si>
  <si>
    <t>Allocations for Capital Outlays of State Universities and Colleges</t>
  </si>
  <si>
    <t>01102409</t>
  </si>
  <si>
    <t>01102410</t>
  </si>
  <si>
    <t>01102411</t>
  </si>
  <si>
    <t>01102412</t>
  </si>
  <si>
    <t>01102413</t>
  </si>
  <si>
    <t>01102414</t>
  </si>
  <si>
    <t>Bayanihan to Recover as One Act, Republic Act No. 11494</t>
  </si>
  <si>
    <t>01102415</t>
  </si>
  <si>
    <t>01102999</t>
  </si>
  <si>
    <t>Supplemental Appropriations</t>
  </si>
  <si>
    <t>01103101</t>
  </si>
  <si>
    <t>01103276</t>
  </si>
  <si>
    <t>01103277</t>
  </si>
  <si>
    <t>01103401</t>
  </si>
  <si>
    <t>01103415</t>
  </si>
  <si>
    <t>Automatic Appropriations</t>
  </si>
  <si>
    <t>Retirement and Life Insurance Premiums</t>
  </si>
  <si>
    <t>01104102</t>
  </si>
  <si>
    <t>Pension under R.A. No. 2087, as amended by P.D. 1625 and R.A. No. 5059 as amended by Section 1 of EO No. 145, s. 1987</t>
  </si>
  <si>
    <t>01104103</t>
  </si>
  <si>
    <t>Customs duties and taxes, including tax expenditures</t>
  </si>
  <si>
    <t>01104105</t>
  </si>
  <si>
    <t>Proceeds from sales of non-serviceable, obsolete and unnecessary  equipment</t>
  </si>
  <si>
    <t>01104106</t>
  </si>
  <si>
    <t>Tax Refunds</t>
  </si>
  <si>
    <t>01104108</t>
  </si>
  <si>
    <t>Debt Principal Amortization</t>
  </si>
  <si>
    <t>01104109</t>
  </si>
  <si>
    <t>Debt Interest Payments</t>
  </si>
  <si>
    <t>01104110</t>
  </si>
  <si>
    <t>01104251</t>
  </si>
  <si>
    <t>01104257</t>
  </si>
  <si>
    <t>National Tax Allotment</t>
  </si>
  <si>
    <t>01104258</t>
  </si>
  <si>
    <t>Net Lending</t>
  </si>
  <si>
    <t>01104280</t>
  </si>
  <si>
    <t>Unprogrammed Appropriations</t>
  </si>
  <si>
    <t>01105101</t>
  </si>
  <si>
    <t>01105276</t>
  </si>
  <si>
    <t>01105277</t>
  </si>
  <si>
    <t>01105278</t>
  </si>
  <si>
    <t>01105279</t>
  </si>
  <si>
    <t>General Fund Adjustments</t>
  </si>
  <si>
    <t>01105421</t>
  </si>
  <si>
    <t>Support for Infrastructure Projects and Social Programs</t>
  </si>
  <si>
    <t>01105422</t>
  </si>
  <si>
    <t>AFP Modernization Program</t>
  </si>
  <si>
    <t>01105423</t>
  </si>
  <si>
    <t>Debt Management Program</t>
  </si>
  <si>
    <t>01105424</t>
  </si>
  <si>
    <t>Total Administrative Disability Pension</t>
  </si>
  <si>
    <t>01105425</t>
  </si>
  <si>
    <t>People's Survival Fund</t>
  </si>
  <si>
    <t>01105426</t>
  </si>
  <si>
    <t>Budgetary Support to Government-Owned and/or - Controlled Corporations</t>
  </si>
  <si>
    <t>01105427</t>
  </si>
  <si>
    <t>Support to Foreign-Assisted Projects</t>
  </si>
  <si>
    <t>01105428</t>
  </si>
  <si>
    <t>Risk Management Program</t>
  </si>
  <si>
    <t>01105429</t>
  </si>
  <si>
    <t>Disaster Relief Mitigation Fund</t>
  </si>
  <si>
    <t>01105430</t>
  </si>
  <si>
    <t>Reconstruction and Rehabilitation Program</t>
  </si>
  <si>
    <t>01105431</t>
  </si>
  <si>
    <t>General Fund Adjustments for Use of Excess Income by Agencies</t>
  </si>
  <si>
    <t>01105432</t>
  </si>
  <si>
    <t>General Fund Adjustments for the Share of the ARMM pursuant to R.A. No.9054</t>
  </si>
  <si>
    <t>01105433</t>
  </si>
  <si>
    <t>Equity Value Buy-out of the Metro Rail Transit Corporation</t>
  </si>
  <si>
    <t>01105434</t>
  </si>
  <si>
    <t>Payment of Taxes under BOT Contract of MRT 3</t>
  </si>
  <si>
    <t>01105435</t>
  </si>
  <si>
    <t>Rehabilitation and Reconstruction Fund</t>
  </si>
  <si>
    <t>01105436</t>
  </si>
  <si>
    <t>MRT 3 Rehabilitation and Capacity Expansion</t>
  </si>
  <si>
    <t>01105437</t>
  </si>
  <si>
    <t>Trade Remedies Fund</t>
  </si>
  <si>
    <t>01105438</t>
  </si>
  <si>
    <t>Share of the DOH from the Incremental Revenue from Excise Tax</t>
  </si>
  <si>
    <t>01105439</t>
  </si>
  <si>
    <t>For Payment of Total Administrative Disability of Living Post WW II Veterans</t>
  </si>
  <si>
    <t>01105440</t>
  </si>
  <si>
    <t>Land Bank of the Philippines - Loan Portfolio (Priority and Other Priority Areas)</t>
  </si>
  <si>
    <t>01105441</t>
  </si>
  <si>
    <t>Support to Capability Enhancement Program of the Philippine National Police (PNP)</t>
  </si>
  <si>
    <t>01105442</t>
  </si>
  <si>
    <t>Provision of Scholarships to Faculty Members and HEI Administrators</t>
  </si>
  <si>
    <t>01105443</t>
  </si>
  <si>
    <t>Payment of Arrears of LTO-IT Service</t>
  </si>
  <si>
    <t>01105444</t>
  </si>
  <si>
    <t>Provision of Scholarship to Faculty HEI and Administrators</t>
  </si>
  <si>
    <t>01105445</t>
  </si>
  <si>
    <t>Refund of the Service Development Fee for the Right to Develop the Nampeidai Property in Tokyo, Japan</t>
  </si>
  <si>
    <t>01105446</t>
  </si>
  <si>
    <t>Prior Years' LGU Shares</t>
  </si>
  <si>
    <t>01105447</t>
  </si>
  <si>
    <t>General Fund Adjustments for FOREX Fluctuation</t>
  </si>
  <si>
    <t>01105448</t>
  </si>
  <si>
    <t>Bangon Marawi Fund</t>
  </si>
  <si>
    <t>01105449</t>
  </si>
  <si>
    <t>Conversion of National Government Advances into Subsidy for GOCCs</t>
  </si>
  <si>
    <t>01105450</t>
  </si>
  <si>
    <t>For Payment of Pension Arrearages</t>
  </si>
  <si>
    <t>01105451</t>
  </si>
  <si>
    <t>Implementation of the Proposed National Government Rightsizing Program (NGRP)</t>
  </si>
  <si>
    <t>01105452</t>
  </si>
  <si>
    <t>Northrail-Southrail Linkage Project Phase I - Payment of Outstanding Obligations</t>
  </si>
  <si>
    <t>01105453</t>
  </si>
  <si>
    <t>Rice Competitiveness Enhancement Fund</t>
  </si>
  <si>
    <t>01105454</t>
  </si>
  <si>
    <t>Coconut Farmers and Industry Development Fund</t>
  </si>
  <si>
    <t>01105455</t>
  </si>
  <si>
    <t>For the Implementation of the Organic Law for the Bangsamoro Region in Muslim Mindanao</t>
  </si>
  <si>
    <t>01105456</t>
  </si>
  <si>
    <t>For the Implementation of the Universal Health Care</t>
  </si>
  <si>
    <t>01105457</t>
  </si>
  <si>
    <t>Bangko Sentral ng Pilipinas (BSP) Equity Infusion pursuant to RA 11211</t>
  </si>
  <si>
    <t>01105458</t>
  </si>
  <si>
    <t>National Identification System</t>
  </si>
  <si>
    <t>01105459</t>
  </si>
  <si>
    <t>Normalization Program in the Bangsamoro</t>
  </si>
  <si>
    <t>01105460</t>
  </si>
  <si>
    <t>Health Facilities Enhancement Program</t>
  </si>
  <si>
    <t>01105461</t>
  </si>
  <si>
    <t>For payment of Personnel Benefits</t>
  </si>
  <si>
    <t>01105462</t>
  </si>
  <si>
    <t>Pension and Gratuity</t>
  </si>
  <si>
    <t>01105463</t>
  </si>
  <si>
    <t>National Bureau of Investigation (NBI) Modernization Program</t>
  </si>
  <si>
    <t>01105464</t>
  </si>
  <si>
    <t>Payment of Right-of-Way</t>
  </si>
  <si>
    <t>01105465</t>
  </si>
  <si>
    <t>Prior Year's BARMM Shares</t>
  </si>
  <si>
    <t>01105466</t>
  </si>
  <si>
    <t>Social Protection Programs due to COVID-19 Pandemic</t>
  </si>
  <si>
    <t>01105467</t>
  </si>
  <si>
    <t>Basic Education Facilities</t>
  </si>
  <si>
    <t>01105468</t>
  </si>
  <si>
    <t>Government Assistance and Subsidies - Voucher Program for Private Senior High School (per RA No. 10533)</t>
  </si>
  <si>
    <t>01105469</t>
  </si>
  <si>
    <t>Last Mile Schools Program</t>
  </si>
  <si>
    <t>01105470</t>
  </si>
  <si>
    <t>Flexible Learning Options</t>
  </si>
  <si>
    <t>01105471</t>
  </si>
  <si>
    <t>Shares of LGUs in Excise Taxes from Locally Manufactured Virginia-Type Cigarettes</t>
  </si>
  <si>
    <t>01105472</t>
  </si>
  <si>
    <t>Shares of LGUs in Excise Taxes from Burley and Native Tobacco Products</t>
  </si>
  <si>
    <t>01105473</t>
  </si>
  <si>
    <t>For the Purchase of COVID-19 Vaccines, Storage, Transportation and Distribution</t>
  </si>
  <si>
    <t>01105474</t>
  </si>
  <si>
    <t>OPAPP - MILF Normalization Program for the Decomissioned Combatants</t>
  </si>
  <si>
    <t>01105475</t>
  </si>
  <si>
    <t>For the repair / rehabilitation / reconstruction of NBI Main Research Center and Facilities</t>
  </si>
  <si>
    <t>01105476</t>
  </si>
  <si>
    <t>DepEd Computerization Program</t>
  </si>
  <si>
    <t>01105477</t>
  </si>
  <si>
    <t>Procurement of COVID-19 Vaccine Booster Shots</t>
  </si>
  <si>
    <t>01105478</t>
  </si>
  <si>
    <t>Foreign Assisted Projects Fund</t>
  </si>
  <si>
    <t>Multilateral and Bilateral Loans/Grants</t>
  </si>
  <si>
    <t>GoP Counterpart Funds</t>
  </si>
  <si>
    <t>02101151</t>
  </si>
  <si>
    <t>Asian Development Bank</t>
  </si>
  <si>
    <t>02101152</t>
  </si>
  <si>
    <t>Australia</t>
  </si>
  <si>
    <t>02101153</t>
  </si>
  <si>
    <t>Austria</t>
  </si>
  <si>
    <t>02101154</t>
  </si>
  <si>
    <t>Belgium</t>
  </si>
  <si>
    <t>02101155</t>
  </si>
  <si>
    <t>Canada</t>
  </si>
  <si>
    <t>02101156</t>
  </si>
  <si>
    <t>China</t>
  </si>
  <si>
    <t>02101157</t>
  </si>
  <si>
    <t>Denmark</t>
  </si>
  <si>
    <t>02101158</t>
  </si>
  <si>
    <t>European Commission</t>
  </si>
  <si>
    <t>02101159</t>
  </si>
  <si>
    <t>France</t>
  </si>
  <si>
    <t>02101160</t>
  </si>
  <si>
    <t>Germany</t>
  </si>
  <si>
    <t>02101161</t>
  </si>
  <si>
    <t>Global Environment Facility</t>
  </si>
  <si>
    <t>02101162</t>
  </si>
  <si>
    <t>International Bank for Reconstruction and Development (IBRD)</t>
  </si>
  <si>
    <t>02101163</t>
  </si>
  <si>
    <t>International Development Fund (IDF)</t>
  </si>
  <si>
    <t>02101164</t>
  </si>
  <si>
    <t>International Fund for Agricultural Development (IFAD)</t>
  </si>
  <si>
    <t>02101165</t>
  </si>
  <si>
    <t>Italy</t>
  </si>
  <si>
    <t>02101166</t>
  </si>
  <si>
    <t>Japan</t>
  </si>
  <si>
    <t>02101167</t>
  </si>
  <si>
    <t>Korea</t>
  </si>
  <si>
    <t>02101168</t>
  </si>
  <si>
    <t>Millennium Challenge Corporation</t>
  </si>
  <si>
    <t>02101169</t>
  </si>
  <si>
    <t>Netherlands</t>
  </si>
  <si>
    <t>02101170</t>
  </si>
  <si>
    <t>New Zealand</t>
  </si>
  <si>
    <t>02101171</t>
  </si>
  <si>
    <t>Norway</t>
  </si>
  <si>
    <t>02101172</t>
  </si>
  <si>
    <t>Saudi Arabia</t>
  </si>
  <si>
    <t>02101173</t>
  </si>
  <si>
    <t>Spain</t>
  </si>
  <si>
    <t>02101174</t>
  </si>
  <si>
    <t>Switzerland</t>
  </si>
  <si>
    <t>02101175</t>
  </si>
  <si>
    <t>United Kingdom</t>
  </si>
  <si>
    <t>02101176</t>
  </si>
  <si>
    <t>United States</t>
  </si>
  <si>
    <t>02101177</t>
  </si>
  <si>
    <t>United Nations Development Fund for Women (UNIFEM)</t>
  </si>
  <si>
    <t>02101178</t>
  </si>
  <si>
    <t>United Nations Population Fund (UNFPA)</t>
  </si>
  <si>
    <t>02101179</t>
  </si>
  <si>
    <t>OPEC Fund for International Development (OFID)</t>
  </si>
  <si>
    <t>Department of Agriculture (DA)</t>
  </si>
  <si>
    <t>02101180</t>
  </si>
  <si>
    <t>Asian Infrastructure Investment Bank (AIIB)</t>
  </si>
  <si>
    <t>02101181</t>
  </si>
  <si>
    <t>Clean Technology Fund</t>
  </si>
  <si>
    <t>02101182</t>
  </si>
  <si>
    <t>02102151</t>
  </si>
  <si>
    <t>02102152</t>
  </si>
  <si>
    <t>02102153</t>
  </si>
  <si>
    <t>02102154</t>
  </si>
  <si>
    <t>02102155</t>
  </si>
  <si>
    <t>02102156</t>
  </si>
  <si>
    <t>02102157</t>
  </si>
  <si>
    <t>02102158</t>
  </si>
  <si>
    <t>02102159</t>
  </si>
  <si>
    <t>02102160</t>
  </si>
  <si>
    <t>02102161</t>
  </si>
  <si>
    <t>02102162</t>
  </si>
  <si>
    <t>02102163</t>
  </si>
  <si>
    <t>02102164</t>
  </si>
  <si>
    <t>02102165</t>
  </si>
  <si>
    <t>02102166</t>
  </si>
  <si>
    <t>02102167</t>
  </si>
  <si>
    <t>02102168</t>
  </si>
  <si>
    <t>02102169</t>
  </si>
  <si>
    <t>02102170</t>
  </si>
  <si>
    <t>02102171</t>
  </si>
  <si>
    <t>02102172</t>
  </si>
  <si>
    <t>02102173</t>
  </si>
  <si>
    <t>02102174</t>
  </si>
  <si>
    <t>02102175</t>
  </si>
  <si>
    <t>02102176</t>
  </si>
  <si>
    <t>02102177</t>
  </si>
  <si>
    <t>02102178</t>
  </si>
  <si>
    <t>02102179</t>
  </si>
  <si>
    <t>02102180</t>
  </si>
  <si>
    <t>02102182</t>
  </si>
  <si>
    <t>02105152</t>
  </si>
  <si>
    <t>02105153</t>
  </si>
  <si>
    <t>02105154</t>
  </si>
  <si>
    <t>02105155</t>
  </si>
  <si>
    <t>02105156</t>
  </si>
  <si>
    <t>02105157</t>
  </si>
  <si>
    <t>02105158</t>
  </si>
  <si>
    <t>02105159</t>
  </si>
  <si>
    <t>02105160</t>
  </si>
  <si>
    <t>02105161</t>
  </si>
  <si>
    <t>02105162</t>
  </si>
  <si>
    <t>02105163</t>
  </si>
  <si>
    <t>02105164</t>
  </si>
  <si>
    <t>02105165</t>
  </si>
  <si>
    <t>02105166</t>
  </si>
  <si>
    <t>02105167</t>
  </si>
  <si>
    <t>02105168</t>
  </si>
  <si>
    <t>02105169</t>
  </si>
  <si>
    <t>02105170</t>
  </si>
  <si>
    <t>02105171</t>
  </si>
  <si>
    <t>02105172</t>
  </si>
  <si>
    <t>02105173</t>
  </si>
  <si>
    <t>02105174</t>
  </si>
  <si>
    <t>02105175</t>
  </si>
  <si>
    <t>02105176</t>
  </si>
  <si>
    <t>02105177</t>
  </si>
  <si>
    <t>02105178</t>
  </si>
  <si>
    <t>02105179</t>
  </si>
  <si>
    <t>02105180</t>
  </si>
  <si>
    <t>Special Account - Locally Funded/Domestic Grants Fund</t>
  </si>
  <si>
    <t>Special Accounts in the General Fund</t>
  </si>
  <si>
    <t>Fiduciary Fund for Agrarian Reform Education</t>
  </si>
  <si>
    <t>Interest Income from investments in treasury notes - RP-US Agreement P.L. 480</t>
  </si>
  <si>
    <t>Department of Agrarian Reform (DAR)</t>
  </si>
  <si>
    <t>03101321</t>
  </si>
  <si>
    <t>Agrarian Reform Fund</t>
  </si>
  <si>
    <t>Income and collections from Agrarian Reform operations and proceeds from assets recovered and sales of ill-gotten wealth - R.A. 9700</t>
  </si>
  <si>
    <t>03101322</t>
  </si>
  <si>
    <t>Domestic Grant Proceeds</t>
  </si>
  <si>
    <t>03104104</t>
  </si>
  <si>
    <t>Military Camps Sales Proceeds</t>
  </si>
  <si>
    <t>03104107</t>
  </si>
  <si>
    <t>Interest income from investments in treasury notes - RP-US Agreement P.L. 480</t>
  </si>
  <si>
    <t>03104321</t>
  </si>
  <si>
    <t>03104322</t>
  </si>
  <si>
    <t>Department of Environment and Natural Resources (DENR)</t>
  </si>
  <si>
    <t>Department of Justice (DOJ)</t>
  </si>
  <si>
    <t>Land Registration Authority</t>
  </si>
  <si>
    <t>Presidential Commission on Good Government</t>
  </si>
  <si>
    <t>Agricultural Competitiveness Enhancement Fund</t>
  </si>
  <si>
    <t>All duties collected from the importation of agricultural products under the minimum access volume mechanism  - R.A. Nos. 8178 /9496</t>
  </si>
  <si>
    <t>03104323</t>
  </si>
  <si>
    <t>Agro-Industry Modernization Credit and Financing Program(AMCFP)</t>
  </si>
  <si>
    <t>Agricultural Credit Policy Council</t>
  </si>
  <si>
    <t>03104324</t>
  </si>
  <si>
    <t>Wildlife Management Fund</t>
  </si>
  <si>
    <t>Donations, permits, fines, charges from wildlife related activities - R.A. 9147</t>
  </si>
  <si>
    <t>Bureau of Fisheries and Aquatic Resources</t>
  </si>
  <si>
    <t>03104325</t>
  </si>
  <si>
    <t>Support to the Fertilizer and Pesticide Program</t>
  </si>
  <si>
    <t>Fertilizer and Pesticide Authority</t>
  </si>
  <si>
    <t>03104326</t>
  </si>
  <si>
    <t>Livestock Development Fund</t>
  </si>
  <si>
    <t>Registration Fees of large cattle - P.D. 914</t>
  </si>
  <si>
    <t>Livestock Development Council</t>
  </si>
  <si>
    <t>03104327</t>
  </si>
  <si>
    <t>Meat Inspection Service Development Trust Fund</t>
  </si>
  <si>
    <t>Fees, fines and other charges by the NMIS - Section 46, R.A. 9296</t>
  </si>
  <si>
    <t>National Meat Inspection Service</t>
  </si>
  <si>
    <t>03104328</t>
  </si>
  <si>
    <t>Early Childhood Care and Development Council</t>
  </si>
  <si>
    <t>Share from PAGCOR</t>
  </si>
  <si>
    <t>03104329</t>
  </si>
  <si>
    <t>Instructional Materials Development Center Fund</t>
  </si>
  <si>
    <t>R.A. 8047</t>
  </si>
  <si>
    <t>National Book Development Board</t>
  </si>
  <si>
    <t>03104330</t>
  </si>
  <si>
    <t>Malampaya Gas Fund</t>
  </si>
  <si>
    <t>Production shares from Malampaya Gas-to-Power Project per Service Contract No. 38 – P.D. 910</t>
  </si>
  <si>
    <t>Power Sector Assets and Liabilities Management Corporation</t>
  </si>
  <si>
    <t>03104331</t>
  </si>
  <si>
    <t>Department of Energy (DOE)</t>
  </si>
  <si>
    <t>Collections from other production shares and miscellaneous income</t>
  </si>
  <si>
    <t>Fees, revenues and receipts from the exploration, development and exploitation of energy resources - P.D Nos. 87/972/1234/1442/9513</t>
  </si>
  <si>
    <t>03104332</t>
  </si>
  <si>
    <t>Technology Transfer for Energy Management Fund</t>
  </si>
  <si>
    <t>Interest Income in USAID-assisted Technology Transfer for Energy Management (TTEM) - R.A. 7638</t>
  </si>
  <si>
    <t>03104333</t>
  </si>
  <si>
    <t xml:space="preserve">Integrated Protected Areas Fund </t>
  </si>
  <si>
    <t>All income generated from the operation of NIPAS or management of wild flora and fauna - R.A. 7586</t>
  </si>
  <si>
    <t>03104334</t>
  </si>
  <si>
    <t xml:space="preserve">Wildlife Management Fund </t>
  </si>
  <si>
    <t>Fines, awards, fees, charges, donations, endowments, administrative fees or grants in the form of contribution - R.A. 9147</t>
  </si>
  <si>
    <t>03104335</t>
  </si>
  <si>
    <t>Palawan Council for Sustainable Development Staff</t>
  </si>
  <si>
    <t>Sale of Confiscated Logs</t>
  </si>
  <si>
    <t>E.O. 277; LOI 1020; BP 879</t>
  </si>
  <si>
    <t>03104336</t>
  </si>
  <si>
    <t xml:space="preserve">Air Quality Management Fund </t>
  </si>
  <si>
    <t>Fines, awards, fees, donations, endowments, and grants in the form of contribution - R.A. 8749</t>
  </si>
  <si>
    <t>Environmental Management Bureau</t>
  </si>
  <si>
    <t>03104337</t>
  </si>
  <si>
    <t>Mines and Geosciences Bureau</t>
  </si>
  <si>
    <t>10% of all royalties and revenues from development and utilization of the mineral resources (Mineral Reservations - R.A. 7942)</t>
  </si>
  <si>
    <t>03104338</t>
  </si>
  <si>
    <t>Non-Intrusive Container Inspection System Project Fund</t>
  </si>
  <si>
    <t>Income from Container Security Fee  - E.O. Nos. 592/635</t>
  </si>
  <si>
    <t>Department of Finance (DOF)</t>
  </si>
  <si>
    <t>Bureau of Customs</t>
  </si>
  <si>
    <t>03104339</t>
  </si>
  <si>
    <t>Super Green Lane Trust Fund</t>
  </si>
  <si>
    <t>Service fees for usage of Super Green lane facility - E.O. Nos. 230/563</t>
  </si>
  <si>
    <t>03104340</t>
  </si>
  <si>
    <t>Refund of Input VAT - R.A. 8424</t>
  </si>
  <si>
    <t>03104341</t>
  </si>
  <si>
    <t>Special Education Fund</t>
  </si>
  <si>
    <t>1% share of taxes on local Virginia-type cigarettes - R.A. 5447</t>
  </si>
  <si>
    <t>Bureau of Internal Revenue</t>
  </si>
  <si>
    <t>03104342</t>
  </si>
  <si>
    <t>Bank Penalties Fund</t>
  </si>
  <si>
    <t>Penalties imposed to banks on delayed remittances - E.O. 937</t>
  </si>
  <si>
    <t>03104343</t>
  </si>
  <si>
    <t>Fidelity Bond Fund</t>
  </si>
  <si>
    <t>Public Bonding Law - Sections 313-335 Chapter 15, Revised Administrative Code of 1917</t>
  </si>
  <si>
    <t>Bureau of the Treasury</t>
  </si>
  <si>
    <t>03104344</t>
  </si>
  <si>
    <t>Insurance Commission Fund</t>
  </si>
  <si>
    <t>25% share in premium tax collections of the BIR - P.D. 612 /R.A. 8424</t>
  </si>
  <si>
    <t>Insurance Commission</t>
  </si>
  <si>
    <t>03104345</t>
  </si>
  <si>
    <t>Pre-Need Fund</t>
  </si>
  <si>
    <t>Retention and Utilization of Fees, Charges and Other Income from the Regulation of Pre-need Companies - R.A. 9829</t>
  </si>
  <si>
    <t>03104346</t>
  </si>
  <si>
    <t>Department of Health (OSEC)</t>
  </si>
  <si>
    <t>Shares from Franchise tax/VAT- R.A. Nos. 6631/6632/7953/8407</t>
  </si>
  <si>
    <t>Department of Health (DOH)</t>
  </si>
  <si>
    <t>03104347</t>
  </si>
  <si>
    <t>DOH OSEC FDA-SAGF</t>
  </si>
  <si>
    <t>Income from fees fines, royalties and other charges authorized under R.A. 9502</t>
  </si>
  <si>
    <t>03104348</t>
  </si>
  <si>
    <t>OSEC-BQIHS SAGF</t>
  </si>
  <si>
    <t>50% of Income from Quarantine Services - R.A. 9271</t>
  </si>
  <si>
    <t>03104349</t>
  </si>
  <si>
    <t>Bureau of Fire Protection</t>
  </si>
  <si>
    <t>Fees and Fines under the Fire Code of the Philippines - R.A. 9154</t>
  </si>
  <si>
    <t>Department of the Interior and Local Government (DILG)</t>
  </si>
  <si>
    <t>03104350</t>
  </si>
  <si>
    <t>Department of Justice (OSEC)</t>
  </si>
  <si>
    <t>Legal Fees - R.A. 9279</t>
  </si>
  <si>
    <t>03104351</t>
  </si>
  <si>
    <t>20% of Land Registration Fees of the Register of Deeds of LGUs and LRA - P.D. 1529</t>
  </si>
  <si>
    <t>03104352</t>
  </si>
  <si>
    <t xml:space="preserve">Office of the Solicitor General </t>
  </si>
  <si>
    <t>50% of fees and charges on naturalized aliens under the old Naturalization Law  - L.O.I. 278 /R.A. 9417</t>
  </si>
  <si>
    <t>Office of the Solicitor General</t>
  </si>
  <si>
    <t>03104353</t>
  </si>
  <si>
    <t>Verification Fee Fund</t>
  </si>
  <si>
    <t>Verification Fees of Foreign Post - E.O. 1022</t>
  </si>
  <si>
    <t>Department of Labor and Employment (DOLE)</t>
  </si>
  <si>
    <t>03104354</t>
  </si>
  <si>
    <t>Special Voluntary Arbitration Fund</t>
  </si>
  <si>
    <t>CBA Registration Fees - R.A. 6721</t>
  </si>
  <si>
    <t>National Conciliation and Mediation Board</t>
  </si>
  <si>
    <t>03104355</t>
  </si>
  <si>
    <t>Asia Pacific Disaster Response Fund</t>
  </si>
  <si>
    <t>Tropical Storm Ketsana (Ondoy) Project</t>
  </si>
  <si>
    <t>Department of National Defense (DND)</t>
  </si>
  <si>
    <t>Office of the Secretary - Proper</t>
  </si>
  <si>
    <t>03104356</t>
  </si>
  <si>
    <t xml:space="preserve">AFP Modernization Trust Fund </t>
  </si>
  <si>
    <t>Share from the proceeds of sale, lease or joint development, public-private partnership, sale of the products of Government Arsenal, disposal of repairable equipment, budgetary surplus, donations and interest income - R.A. 7227, R.A. 7898, R.A. 10349</t>
  </si>
  <si>
    <t>General Headquarters, AFP and AFP-Wide Service Support Units (AFPWSSUs)</t>
  </si>
  <si>
    <t>03104357</t>
  </si>
  <si>
    <t>Special Road Support Fund</t>
  </si>
  <si>
    <t>80% of Motor Vehicle Users’ Charge Tax collections  (MVUC) - R.A. 8794</t>
  </si>
  <si>
    <t>Department of Public Works and Highways (DPWH)</t>
  </si>
  <si>
    <t>03104358</t>
  </si>
  <si>
    <t>Special Local Road Fund</t>
  </si>
  <si>
    <t>5% of Motor Vehicle Users’ Charge Tax collections (MVUC) - R.A. 8794</t>
  </si>
  <si>
    <t>03104359</t>
  </si>
  <si>
    <t>Special Road Safety Fund</t>
  </si>
  <si>
    <t>7. 5% of Motor Vehicle Users’ Charge Tax collections (MVUC) - R.A. 8794</t>
  </si>
  <si>
    <t>03104360</t>
  </si>
  <si>
    <t>Tourism Development Fund</t>
  </si>
  <si>
    <t>Accreditation, training fees, miscellaneous income - R.A. 9593</t>
  </si>
  <si>
    <t>Department of Tourism (DOT)</t>
  </si>
  <si>
    <t>03104361</t>
  </si>
  <si>
    <t xml:space="preserve">Micro, Small and Medium Enterprise Development Council Fund </t>
  </si>
  <si>
    <t>90% of the penalties collected by BSP from lending institutions for non-compliance  with  the provisions of  the  amended Magna Carta for SMEs  - R.A. 9501</t>
  </si>
  <si>
    <t>Department of Trade and Industry (DTI)</t>
  </si>
  <si>
    <t>03104362</t>
  </si>
  <si>
    <t>Special Vehicle Pollution Control Fund</t>
  </si>
  <si>
    <t xml:space="preserve">7.5% of Motor Vehicle Users’ Charge Tax collections (MVUC) - R.A. 8794 </t>
  </si>
  <si>
    <t>Department of Transportation (DOTr)</t>
  </si>
  <si>
    <t>03104363</t>
  </si>
  <si>
    <t>Department of Transportation and Communications (DOTC)</t>
  </si>
  <si>
    <t>Seat Belt Use Fund (LTO)</t>
  </si>
  <si>
    <t>Fines imposed on the implementation of Seat Belt Use - R.A. 8750</t>
  </si>
  <si>
    <t>03104364</t>
  </si>
  <si>
    <t>MARINA Tonnage Fees</t>
  </si>
  <si>
    <t>Tonnage Fees - R.A. 9295</t>
  </si>
  <si>
    <t>Maritime Industry Authority (MARINA)</t>
  </si>
  <si>
    <t>03104365</t>
  </si>
  <si>
    <t>Maritime Industry Authority</t>
  </si>
  <si>
    <t>National Civil Aviation Security Committee (NCASC)</t>
  </si>
  <si>
    <t>Aviation security fees collected from passengers at the airports  - E.O. Nos. 277/311</t>
  </si>
  <si>
    <t>Office for Transportation Security</t>
  </si>
  <si>
    <t>03104366</t>
  </si>
  <si>
    <t>Interest Earnings of the Endowment Fund</t>
  </si>
  <si>
    <t>Interest Income - E.O. 211</t>
  </si>
  <si>
    <t>National Economic and Development Authority (NEDA)</t>
  </si>
  <si>
    <t>Philippine Statistical Research and Training Institute (formerly Statistical Research and Training Center)</t>
  </si>
  <si>
    <t>03104367</t>
  </si>
  <si>
    <t>CFO SAGF</t>
  </si>
  <si>
    <t>Donations from Overseas Filipinos, grants from multinational agencies, financial support from the CFOs corporate and government partners,  and other income from projects and activities</t>
  </si>
  <si>
    <t>Commission on Filipinos Overseas</t>
  </si>
  <si>
    <t>03104368</t>
  </si>
  <si>
    <t xml:space="preserve">Higher Education Development Fund      </t>
  </si>
  <si>
    <t>40% share from travel tax, 30% from registration fees of PRC and 1% of gross sales of lotto operations of PCSO - RA 7722</t>
  </si>
  <si>
    <t>03104369</t>
  </si>
  <si>
    <t>DDB SAGF</t>
  </si>
  <si>
    <t>25% of gross receipts from breakages of Phil. Racing Club, Inc. and Manila Jockey Club, Inc., 10% of unclaimed/forfeited sweepstakes/lotto prizes from PCSO and P5M per month from PAGCOR - R.A. Nos. 7953, 8407, 1965</t>
  </si>
  <si>
    <t xml:space="preserve">Dangerous Drugs Board  </t>
  </si>
  <si>
    <t>03104370</t>
  </si>
  <si>
    <t xml:space="preserve">FDCP SAGF </t>
  </si>
  <si>
    <t>Registration fees/charges and amusement taxes - R.A. 9167</t>
  </si>
  <si>
    <t>Film Development Council of the Philippines</t>
  </si>
  <si>
    <t>03104371</t>
  </si>
  <si>
    <t>GAB SAGF</t>
  </si>
  <si>
    <t>3% of the grass gate receipts from the conduct of professional basketball and other professional games and income from television, radio and motion picture rights - E.O. 120, P.D. 871</t>
  </si>
  <si>
    <t>Games and Amusements Board</t>
  </si>
  <si>
    <t>03104372</t>
  </si>
  <si>
    <t>HLURB SAGF</t>
  </si>
  <si>
    <t>Service/Processing Fees, Fines, Penalties - E.O. Nos. 648/90</t>
  </si>
  <si>
    <t>Housing and Land Use Regulatory Board</t>
  </si>
  <si>
    <t>03104373</t>
  </si>
  <si>
    <t>Share on the annual revenue collection of MTRCB - Sec. 20 of P.D. 1986</t>
  </si>
  <si>
    <t>Movie and Television Review and Classification Board</t>
  </si>
  <si>
    <t>03104374</t>
  </si>
  <si>
    <t>National Endowment Fund for Culture and Arts</t>
  </si>
  <si>
    <t>10% of PTA travel tax collections and Interest income - R.A. 7356;  
Contributions from PAGCOR - R.A. No. 7356 and R.A. No. 10066</t>
  </si>
  <si>
    <t>National Commission for Culture and the Arts-Proper</t>
  </si>
  <si>
    <t>03104375</t>
  </si>
  <si>
    <t>The Asian Foundation</t>
  </si>
  <si>
    <t>Donation</t>
  </si>
  <si>
    <t>Office of the Presidential Adviser on the Peace Process</t>
  </si>
  <si>
    <t>03104376</t>
  </si>
  <si>
    <t>National Sports Development Fund</t>
  </si>
  <si>
    <t xml:space="preserve">Share from taxes on horse races from Manila Jockey Club and PRC Inc. during special holidays - R.A. 6847; 3% share of all taxes collected on imported athletic equipment; Proceeds form the sale of stamps depicting sports events  </t>
  </si>
  <si>
    <t>Philippine Sports Commission</t>
  </si>
  <si>
    <t>03104377</t>
  </si>
  <si>
    <t>PCUP SAGF</t>
  </si>
  <si>
    <t>Donations from Local Sources</t>
  </si>
  <si>
    <t>Presidential Commission for the Urban Poor</t>
  </si>
  <si>
    <t>03104378</t>
  </si>
  <si>
    <t>CCP SAGF</t>
  </si>
  <si>
    <t>50% tobacco inspection fee collections of BIR - P.D. 1158/R.A. 8424</t>
  </si>
  <si>
    <t>Cultural Center of the Philippines</t>
  </si>
  <si>
    <t>03104379</t>
  </si>
  <si>
    <t>Tobacco Fund</t>
  </si>
  <si>
    <t>Proceeds of fifty per centrum of the tariff or taxes of imported leaf tobacco - R.A. 4155</t>
  </si>
  <si>
    <t>National Tobacco Administration</t>
  </si>
  <si>
    <t>03104380</t>
  </si>
  <si>
    <t>PCA SAGF</t>
  </si>
  <si>
    <t>Fees from copra exporters, oil millers, desiccators and other end-users of coconut products - P.D. 1234/P.D. 1854</t>
  </si>
  <si>
    <t>Philippine Coconut Authority</t>
  </si>
  <si>
    <t>03104381</t>
  </si>
  <si>
    <t>Tourism Promotions Board Fund</t>
  </si>
  <si>
    <t>Proceeds from the investment earnings of the Tourism Promotions Trust, Dividend shares from PAGCOR, Duty Free Philippines Corporation and others - R.A. 9593</t>
  </si>
  <si>
    <t>Tourism Promotions Board</t>
  </si>
  <si>
    <t>03104382</t>
  </si>
  <si>
    <t>Remedies Fund</t>
  </si>
  <si>
    <t>03104384</t>
  </si>
  <si>
    <t>Tariff Commission</t>
  </si>
  <si>
    <t>National Water Quality Management Fund</t>
  </si>
  <si>
    <t>Fines, awards, fees, donations, endowments and grants in the form of contribution - RA 9275</t>
  </si>
  <si>
    <t>03104385</t>
  </si>
  <si>
    <t>Area Water Quality Management Fund</t>
  </si>
  <si>
    <t>Fees collected under the waste water charge system, donations, endowments and grants - RA 9275</t>
  </si>
  <si>
    <t>03104386</t>
  </si>
  <si>
    <t>Seed Fund</t>
  </si>
  <si>
    <t>Proceeds of sales, fines and donations - R.A. 7308</t>
  </si>
  <si>
    <t>03104387</t>
  </si>
  <si>
    <t>Competitiveness Enhancement Measures Fund</t>
  </si>
  <si>
    <t>50% of revenues collected from fees, charges and safeguard duties (RA 8800)</t>
  </si>
  <si>
    <t>03104388</t>
  </si>
  <si>
    <t>National Building Code Development Fund</t>
  </si>
  <si>
    <t>National building permit collections and remittances pursuant to PD 1096</t>
  </si>
  <si>
    <t>03104389</t>
  </si>
  <si>
    <t>Livestock Promotion Fund</t>
  </si>
  <si>
    <t>Sourced from the sale of agricultural propagation, breeding or meat purposes or the renting or loaning for breeding purposes, or the slaughter and sale in the form of meat of the animals</t>
  </si>
  <si>
    <t>03104390</t>
  </si>
  <si>
    <t>Fisheries Management Fund</t>
  </si>
  <si>
    <t>to be used for the conservation, protection and regulation of fishery and aquatic resources sourced from endowments, grants, donations, administrative fines and penalties imposed under Section 19 of R.A. No. 10654</t>
  </si>
  <si>
    <t>03104391</t>
  </si>
  <si>
    <t>Free Public Internet Access Fund (FPIAF)</t>
  </si>
  <si>
    <t>Deposits made by the NTC out of the Spectrum Users Fee - R.A. 10929</t>
  </si>
  <si>
    <t>Department of Information and Communications Technology (DICT)</t>
  </si>
  <si>
    <t>03104392</t>
  </si>
  <si>
    <t>Rice Competitiveness Enhancement Fund (RCEF)</t>
  </si>
  <si>
    <t>To be funded out of the General Fund annually appropriated in the GAA automatically credited to an SAGF - Sec. 13, R.A. 11203</t>
  </si>
  <si>
    <t>Development Bank of the Philippines</t>
  </si>
  <si>
    <t>03104393</t>
  </si>
  <si>
    <t>Land Bank of the Philippines</t>
  </si>
  <si>
    <t>Philippine Crop Insurance Corporation</t>
  </si>
  <si>
    <t>Philippine Rice Research Institute</t>
  </si>
  <si>
    <t>Philippine Center for Post-Harvest Development and Mechanization</t>
  </si>
  <si>
    <t>Technical Education and Skills Development Authority</t>
  </si>
  <si>
    <t>Special Road Fund</t>
  </si>
  <si>
    <t>Motor Vehicle User's Charge (MVUC) Tax Collections - R.A. 11239</t>
  </si>
  <si>
    <t>03104394</t>
  </si>
  <si>
    <t>Coconut Levy Fund</t>
  </si>
  <si>
    <t>For transfer to the Coconut Farmers and Industry Fund  - Sec. 8 of RA 11524</t>
  </si>
  <si>
    <t>03104395</t>
  </si>
  <si>
    <t>Bangko Sentral ng Pilipinas Equity Infusion</t>
  </si>
  <si>
    <t>Increase in capitalization - RA Nos. 7653 and 11211</t>
  </si>
  <si>
    <t>Bangko Sentral ng Pilipinas</t>
  </si>
  <si>
    <t>03104396</t>
  </si>
  <si>
    <t>Special Account - Foreign Assisted/Foreign Grants Fund</t>
  </si>
  <si>
    <t>04104152</t>
  </si>
  <si>
    <t>04104153</t>
  </si>
  <si>
    <t>04104154</t>
  </si>
  <si>
    <t>04104155</t>
  </si>
  <si>
    <t>04104156</t>
  </si>
  <si>
    <t>04104157</t>
  </si>
  <si>
    <t>04104158</t>
  </si>
  <si>
    <t>04104159</t>
  </si>
  <si>
    <t>04104160</t>
  </si>
  <si>
    <t>04104161</t>
  </si>
  <si>
    <t>04104162</t>
  </si>
  <si>
    <t>04104163</t>
  </si>
  <si>
    <t>04104164</t>
  </si>
  <si>
    <t>04104165</t>
  </si>
  <si>
    <t>04104166</t>
  </si>
  <si>
    <t>04104167</t>
  </si>
  <si>
    <t>04104168</t>
  </si>
  <si>
    <t>04104169</t>
  </si>
  <si>
    <t>04104170</t>
  </si>
  <si>
    <t>04104171</t>
  </si>
  <si>
    <t>04104172</t>
  </si>
  <si>
    <t>04104173</t>
  </si>
  <si>
    <t>04104174</t>
  </si>
  <si>
    <t>04104175</t>
  </si>
  <si>
    <t>04104176</t>
  </si>
  <si>
    <t>04104177</t>
  </si>
  <si>
    <t>04104178</t>
  </si>
  <si>
    <t>04104179</t>
  </si>
  <si>
    <t>Climate Change Fund</t>
  </si>
  <si>
    <t>04104181</t>
  </si>
  <si>
    <t>Internally Generated Funds</t>
  </si>
  <si>
    <t>Off - Budgetary Funds</t>
  </si>
  <si>
    <t>Retained Income/Funds</t>
  </si>
  <si>
    <t>Internally Generated Income</t>
  </si>
  <si>
    <t>Tuition and matriculation fees/other receipts - R.A. 8292</t>
  </si>
  <si>
    <t>State Universities and Colleges (SUCs)</t>
  </si>
  <si>
    <t>05206441</t>
  </si>
  <si>
    <t>Securities and Exchange Commission Retained Income</t>
  </si>
  <si>
    <t>P100M from license fees from securities brokers/dealers, registration of corporations, Special Purpose Vehicle Act - R.A. Nos. 8799 and 9182</t>
  </si>
  <si>
    <t>Securities and Exchange Commission</t>
  </si>
  <si>
    <t>05206442</t>
  </si>
  <si>
    <t>Hospital Retained Income applicable to all DOH - retained hospitals</t>
  </si>
  <si>
    <t>Hospital fees, medical/dental/laboratory fees, rent income from use of hospital equipment/facilities, proceeds from sale of hospital products, devices, donations and other income - DOH-DOF-DBM J.C. 2003-1</t>
  </si>
  <si>
    <t>05206443</t>
  </si>
  <si>
    <t>Intellectual Property Office Retained Income</t>
  </si>
  <si>
    <t>Registration fees, grants of patents, registration of trademarks, subscription fees and other income - R.A. 8043</t>
  </si>
  <si>
    <t>05206444</t>
  </si>
  <si>
    <t>Overseas Workers Welfare Administration(OWWA) Fund</t>
  </si>
  <si>
    <t>05206445</t>
  </si>
  <si>
    <t>Government Arsenal Retained Income</t>
  </si>
  <si>
    <t>All income generated from hospital operations</t>
  </si>
  <si>
    <t>Government Arsenal</t>
  </si>
  <si>
    <t>05206446</t>
  </si>
  <si>
    <t>Veterans Memorial Medical Center Retained Income</t>
  </si>
  <si>
    <t>Hospital fees, medical, dental and laboratory fees / Retained Income</t>
  </si>
  <si>
    <t>Veterans Memorial Medical Center</t>
  </si>
  <si>
    <t>05206447</t>
  </si>
  <si>
    <t>General Headquarters-Proper Retained Income</t>
  </si>
  <si>
    <t>05206448</t>
  </si>
  <si>
    <t>AFP Medical Center Retained Income</t>
  </si>
  <si>
    <t>Hospital income, medical, dental and laboratory fees and all other income generated from hospital operations</t>
  </si>
  <si>
    <t>05206449</t>
  </si>
  <si>
    <t>AFP-PA Retained Income</t>
  </si>
  <si>
    <t>Philippine Army ( Land Forces )</t>
  </si>
  <si>
    <t>05206450</t>
  </si>
  <si>
    <t>AFP-Philippine Air Force Retained Income</t>
  </si>
  <si>
    <t>Philippine Air Force ( Air Forces )</t>
  </si>
  <si>
    <t>05206451</t>
  </si>
  <si>
    <t>AFP-PN Retained Income</t>
  </si>
  <si>
    <t>Philippine Navy ( Naval Forces )</t>
  </si>
  <si>
    <t>05206452</t>
  </si>
  <si>
    <t>5% share of the gross income of the PAGCOR and 30% share on charity fund of proceeds of six (6) sweepstakes or lottery draws per annum - R.A. 6847</t>
  </si>
  <si>
    <t>05206453</t>
  </si>
  <si>
    <t>Judicial Development Fund</t>
  </si>
  <si>
    <t>Legal fees, court fees, other income - P.D. 1949</t>
  </si>
  <si>
    <t>The Judiciary (JUD)</t>
  </si>
  <si>
    <t>Supreme Court of the Philippines and the Lower Courts</t>
  </si>
  <si>
    <t>05206454</t>
  </si>
  <si>
    <t>Judicial Training Center, Philippine Judiciary Academy and Mandatory Continuing Legal Education</t>
  </si>
  <si>
    <t>Seminar fees and other services income</t>
  </si>
  <si>
    <t>05206455</t>
  </si>
  <si>
    <t>Special Allowance for the Judiciary</t>
  </si>
  <si>
    <t>Legal fees, new fees - R.A. 9227</t>
  </si>
  <si>
    <t>05206456</t>
  </si>
  <si>
    <t>Protected Area Retention Income Account (PA RIA)</t>
  </si>
  <si>
    <t>Retention by the Protected Area Management Board (PAMB) 75% of the Income from operations accruing to the Integrated Protected Areas Fund (IPAF) - RA No. 10629</t>
  </si>
  <si>
    <t>05206457</t>
  </si>
  <si>
    <t>National Museum Income Fund</t>
  </si>
  <si>
    <t>All income from all sources of museum operations nationwide and overseas - RA 11333</t>
  </si>
  <si>
    <t>National Museum of the Philippines</t>
  </si>
  <si>
    <t>05206458</t>
  </si>
  <si>
    <t>Business Related Funds</t>
  </si>
  <si>
    <t>Revolving Funds</t>
  </si>
  <si>
    <t>Agricultural Training Institute Revolving Fund</t>
  </si>
  <si>
    <t>Charges from dormitory operations, printing, publication, rental facilities, other business and grants/donations</t>
  </si>
  <si>
    <t>06207501</t>
  </si>
  <si>
    <t>Bureau of Animal Industry Revolving Fund</t>
  </si>
  <si>
    <t>Proceeds from sale of animals, meat and other animal byproducts – R.A. 7308</t>
  </si>
  <si>
    <t>06207502</t>
  </si>
  <si>
    <t>Bureau of Animal Industry Revolving Fund-GAA General Provisions</t>
  </si>
  <si>
    <t>Dormitory operations</t>
  </si>
  <si>
    <t>06207503</t>
  </si>
  <si>
    <t>Plant Quarantine Revolving Fund</t>
  </si>
  <si>
    <t>Permit/inspection fees and charges on the importation and export of plants for improvement and strengthening of plant quarantine services – P.D. 1433</t>
  </si>
  <si>
    <t>06207504</t>
  </si>
  <si>
    <t>National Seed Industry Fund</t>
  </si>
  <si>
    <t>Fees and charges from clearance certification fees, inspection fees, miscellaneous income for the promotion and development of the seed industry – R.A. 9168</t>
  </si>
  <si>
    <t>06207505</t>
  </si>
  <si>
    <t>Plant Variety Protection Fund</t>
  </si>
  <si>
    <t>Collection of fees for plant variety protection - R.A. 9168</t>
  </si>
  <si>
    <t>06207506</t>
  </si>
  <si>
    <t>Bureau of Soils and Water Management Revolving Fund</t>
  </si>
  <si>
    <t>Rentals from use of buildings/facilities and board and lodging for maintenance of buildings</t>
  </si>
  <si>
    <t>06207507</t>
  </si>
  <si>
    <t>Fertilizer and Pesticide Authority Fund</t>
  </si>
  <si>
    <t>Rentals for use of Training Centers/Rooms</t>
  </si>
  <si>
    <t>06207508</t>
  </si>
  <si>
    <t>Philippine Carabao Center Revolving Fund</t>
  </si>
  <si>
    <t>Sale of carabao's meat, milk and other key carabao products and byproducts, and other miscellaneous receipts – R.A.7307</t>
  </si>
  <si>
    <t>Philippine Carabao Center</t>
  </si>
  <si>
    <t>06207509</t>
  </si>
  <si>
    <t>Philippine Center for Post Harvest Development and Mechanization Revolving Fund</t>
  </si>
  <si>
    <t>Rental of Facilities – R.A. 10156</t>
  </si>
  <si>
    <t>06207510</t>
  </si>
  <si>
    <t>Procurement Service Revolving Fund</t>
  </si>
  <si>
    <t>Section 4 of E.O. 359 and Special Provision No. 1 of R.A. 7663</t>
  </si>
  <si>
    <t>Department of Budget and Management (DBM)</t>
  </si>
  <si>
    <t>Government Procurement Policy Board-Technical Support Office</t>
  </si>
  <si>
    <t>06207511</t>
  </si>
  <si>
    <t>School Revolving Fund</t>
  </si>
  <si>
    <t>Income earned from manufacturing and production programs, including auxiliary services of national schools</t>
  </si>
  <si>
    <t>06207512</t>
  </si>
  <si>
    <t>RELC Revolving Fund</t>
  </si>
  <si>
    <t>Registration Fees of Regional Education Learning Centers – B.P. 6831</t>
  </si>
  <si>
    <t>06207513</t>
  </si>
  <si>
    <t>Eco-Tech Center Revolving Fund</t>
  </si>
  <si>
    <t>Income from seminars, conferences</t>
  </si>
  <si>
    <t>06207514</t>
  </si>
  <si>
    <t>Applied Nutrition Center Revolving Fund</t>
  </si>
  <si>
    <t>Income from Dormitory Operations, Miscellaneous Income</t>
  </si>
  <si>
    <t>06207515</t>
  </si>
  <si>
    <t>Boracay National High School Hostel Revolving Fund</t>
  </si>
  <si>
    <t>06207516</t>
  </si>
  <si>
    <t>Baguio Teachers Camp Revolving Fund</t>
  </si>
  <si>
    <t>Lodging Fees, Rental of Facilities, Interest Income – GAA</t>
  </si>
  <si>
    <t>06207517</t>
  </si>
  <si>
    <t>National Educators Academy of the Philippines Revolving Fund</t>
  </si>
  <si>
    <t>Registration Fees, Use of Buildings, Interest Income (F 161)</t>
  </si>
  <si>
    <t>06207518</t>
  </si>
  <si>
    <t>National Science Teaching Instrumentation Center Revolving Fund</t>
  </si>
  <si>
    <t>Rental of Staff Houses</t>
  </si>
  <si>
    <t>06207519</t>
  </si>
  <si>
    <t>National Museum Revolving Fund</t>
  </si>
  <si>
    <t>Income from Museum Operations – R.A. 8492</t>
  </si>
  <si>
    <t>06207520</t>
  </si>
  <si>
    <t>Environmental Management Bureau Revolving Fund</t>
  </si>
  <si>
    <t>Fines and penalties related to environmental compliance and other pollution violations – P.D. Nos. 984/1226</t>
  </si>
  <si>
    <t>06207521</t>
  </si>
  <si>
    <t>Municipal Development Fund Revolving Fund</t>
  </si>
  <si>
    <t>- P.D. 1914</t>
  </si>
  <si>
    <t>06207522</t>
  </si>
  <si>
    <t>Local Loans Fund</t>
  </si>
  <si>
    <t>- Policy Governing Board (PGB) Resolution</t>
  </si>
  <si>
    <t>06207523</t>
  </si>
  <si>
    <t>Program Support Fund</t>
  </si>
  <si>
    <t>06207524</t>
  </si>
  <si>
    <t>Assessment Revolving Fund</t>
  </si>
  <si>
    <t>National government contribution of P50M, assessment fees and other income – P.D. 1002</t>
  </si>
  <si>
    <t>Bureau of Local Government Finance</t>
  </si>
  <si>
    <t>06207525</t>
  </si>
  <si>
    <t>Cooperative Development Loan Fund</t>
  </si>
  <si>
    <t>- P.D. 175/R.A. 6939</t>
  </si>
  <si>
    <t>Cooperative Development Authority</t>
  </si>
  <si>
    <t>06207526</t>
  </si>
  <si>
    <t>Cooperative Marketing Project Fund</t>
  </si>
  <si>
    <t>- E.O. 113</t>
  </si>
  <si>
    <t>06207527</t>
  </si>
  <si>
    <t>Cooperative Support Fund</t>
  </si>
  <si>
    <t>- E.O. 116/R.A. 6939</t>
  </si>
  <si>
    <t>06207528</t>
  </si>
  <si>
    <t>Cooperative Rehabilitation Development Fund</t>
  </si>
  <si>
    <t>- E.O. 634/R.A. 6939</t>
  </si>
  <si>
    <t>06207529</t>
  </si>
  <si>
    <t>Privatization and Management Office Revolving Fund</t>
  </si>
  <si>
    <t>Income for conservation and disposition of transferred assets – E.O. 323</t>
  </si>
  <si>
    <t>Privatization and Management Office</t>
  </si>
  <si>
    <t>06207530</t>
  </si>
  <si>
    <t>Insurance Commission Revolving Fund</t>
  </si>
  <si>
    <t>Security Fund for Life and Non-Life Accounts</t>
  </si>
  <si>
    <t>06207531</t>
  </si>
  <si>
    <t>Passport Revolving Fund</t>
  </si>
  <si>
    <t>Fees collected in excess of the regular fee for processing and issuance of passport requiring special consideration, waiver or issuance beyond regular office hours – R.A. 8239</t>
  </si>
  <si>
    <t>Department of Foreign Affairs (DFA)</t>
  </si>
  <si>
    <t>06207532</t>
  </si>
  <si>
    <t>Drugs and Medicines Revolving Funds</t>
  </si>
  <si>
    <t>Drugs and Medicines – N.B.C. 321</t>
  </si>
  <si>
    <t>06207533</t>
  </si>
  <si>
    <t xml:space="preserve">BuCor Revolving Fund </t>
  </si>
  <si>
    <t>Sale of agro-industry products, rental income and fines/penalties - R.A. 9206</t>
  </si>
  <si>
    <t>Bureau of Corrections</t>
  </si>
  <si>
    <t>06207534</t>
  </si>
  <si>
    <t>TESDA Revolving Fund</t>
  </si>
  <si>
    <t>All income derived from various training-cum production activities – E.O. 939</t>
  </si>
  <si>
    <t>06207535</t>
  </si>
  <si>
    <t>Philippine Veterans Affairs Office-Proper Revolving Fund</t>
  </si>
  <si>
    <t>Entrance and parking fees, rental of stalls and guesthouse – E.O. 159/197 and DOF-DBM J.C. 2-94; entrance fees and rentals for the use of military shrine installations and facilities, and board and lodging</t>
  </si>
  <si>
    <t>Philippine Veterans Affairs Office (PVAO) - Proper</t>
  </si>
  <si>
    <t>06207536</t>
  </si>
  <si>
    <t>Department of Public Works and Highways-OSEC Revolving Fund</t>
  </si>
  <si>
    <t>Toll Fees – P.D. 1004</t>
  </si>
  <si>
    <t>06207537</t>
  </si>
  <si>
    <t>Information and Communications Technology Office Revolving Fund</t>
  </si>
  <si>
    <t>Seminar fees from trainees and other fees</t>
  </si>
  <si>
    <t>Department of Science and Technology (DOST)</t>
  </si>
  <si>
    <t>Information and Communications Technology Office</t>
  </si>
  <si>
    <t>06207538</t>
  </si>
  <si>
    <t>Self Employment Assistance Revolving and Settlement Fund</t>
  </si>
  <si>
    <t>Income from loan repayments for micro-enterprise projects/loan – R.A. 5416</t>
  </si>
  <si>
    <t>Department of Social Welfare and Development (DSWD)</t>
  </si>
  <si>
    <t>06207539</t>
  </si>
  <si>
    <t>Intramuros Administration Revolving Fund</t>
  </si>
  <si>
    <t>Rental of concessionaires, i.e., Casa Manila, Fort Santiago; fees from catering, shooting and reservations – P.D. 1616</t>
  </si>
  <si>
    <t>Intramuros Administration</t>
  </si>
  <si>
    <t>06207540</t>
  </si>
  <si>
    <t>Public-Private Partnership Center of the Philippines Revolving Fund</t>
  </si>
  <si>
    <t>Project Development Facility and Project Development and Monitoring Facility</t>
  </si>
  <si>
    <t>Public-Private Partnership Center of the Philippines</t>
  </si>
  <si>
    <t>06207541</t>
  </si>
  <si>
    <t>National Printing Office Revolving Fund</t>
  </si>
  <si>
    <t>Sale of government accountable forms, non-accountable forms, official gazette and public documents, special jobs and information materials for production costs – B.P. 40, N.B.C. 332, DOF Circular 5-80, COA Circular 80-140</t>
  </si>
  <si>
    <t>Presidential Communications Operations Office (PCOO)</t>
  </si>
  <si>
    <t>National Printing Office</t>
  </si>
  <si>
    <t>06207542</t>
  </si>
  <si>
    <t>Student Micro-Project Loan Fund</t>
  </si>
  <si>
    <t>Philippine-Australia Agritech Project and MOA between the CHED, Decs-EDPITAF and the Australian Agency for International Development (AusAID)</t>
  </si>
  <si>
    <t>06207543</t>
  </si>
  <si>
    <t>FDCP Revolving Fund</t>
  </si>
  <si>
    <t>Film Fund</t>
  </si>
  <si>
    <t>06207544</t>
  </si>
  <si>
    <t>National Commission for Culture and Arts Revolving Fund</t>
  </si>
  <si>
    <t>Proceeds from sale of books, magazines and cultural items – R.A. 7356</t>
  </si>
  <si>
    <t>06207545</t>
  </si>
  <si>
    <t>National Historical Commission of the Philippines Revolving Fund</t>
  </si>
  <si>
    <t>Proceeds from sales of publications, park entrance fees and donations, rendering of technical services, conferences, workshops and similar income – R.A. 10086</t>
  </si>
  <si>
    <t>National Historical Commission of the Philippines</t>
  </si>
  <si>
    <t>06207546</t>
  </si>
  <si>
    <t>Civil Service Commission Revolving Fund</t>
  </si>
  <si>
    <t>Fees from examinations, certifications, training courses, seminars and workshops – Sections 62 and 63, Chapter 10, Title I (A), Book V of E.O. No. 292, s. 1987</t>
  </si>
  <si>
    <t>Civil Service Commission (CSC)</t>
  </si>
  <si>
    <t>Civil Service Commission</t>
  </si>
  <si>
    <t>06207547</t>
  </si>
  <si>
    <t>Career Executive Service Board Revolving Fund</t>
  </si>
  <si>
    <t>Fees from trainings/seminars/conferences and examinations – CSC Resolution Nos. 90-536 and 90-731, dated June 4 and August 7, 1990, respectively</t>
  </si>
  <si>
    <t>Career Executive Service Board</t>
  </si>
  <si>
    <t>06207548</t>
  </si>
  <si>
    <t>Commission on Audit Revolving Fund</t>
  </si>
  <si>
    <t>Fees from dormitories, trainings and seminars</t>
  </si>
  <si>
    <t>Commission on Audit (COA)</t>
  </si>
  <si>
    <t>06207549</t>
  </si>
  <si>
    <t>NDCP revolving Fund</t>
  </si>
  <si>
    <t>06207550</t>
  </si>
  <si>
    <t>DENR-Central Office Hostel Revolving Fund</t>
  </si>
  <si>
    <t>Income from dormitory operations</t>
  </si>
  <si>
    <t>06207551</t>
  </si>
  <si>
    <t>CMDF Revolving Fund</t>
  </si>
  <si>
    <t>Receipts of the Construction Manpower Development Foundation (CMDF) derived from rentals for the use of buildings and fees imposed for board and lodging</t>
  </si>
  <si>
    <t>06207552</t>
  </si>
  <si>
    <t>Bureau of Agriculture Research Revolving Fund</t>
  </si>
  <si>
    <t>Income from rentals for the use of buildings and facilities</t>
  </si>
  <si>
    <t>06207553</t>
  </si>
  <si>
    <t>DA - PCC Hostel Revolving Fund</t>
  </si>
  <si>
    <t>06207554</t>
  </si>
  <si>
    <t>DENR - OSEC Revolving Fund</t>
  </si>
  <si>
    <t>Income from rentals for the use of buildings and facilities or fees imposed for board and lodging</t>
  </si>
  <si>
    <t>06207555</t>
  </si>
  <si>
    <t>DSWD-OSEC Dormitory and SWADCAP Revolving Fund</t>
  </si>
  <si>
    <t>Income from dormitory operations and use of Social Welfare and Development Center for Asia and the Pacific (SWADCAP) facilities</t>
  </si>
  <si>
    <t>06207556</t>
  </si>
  <si>
    <t>ODG Revolving Fund</t>
  </si>
  <si>
    <t>Proceeds collected from the board and lodging and rental of conference venue and other facilities of NEDA</t>
  </si>
  <si>
    <t>06207557</t>
  </si>
  <si>
    <t>DOJ-PPA Revolving Fund</t>
  </si>
  <si>
    <t>Receipts derived from fees and charges collected from the occupants of the Multi-Purpose Hall/Dormitory</t>
  </si>
  <si>
    <t>06207558</t>
  </si>
  <si>
    <t>Veterans Memorial Medical Center Revolving Fund</t>
  </si>
  <si>
    <t>VMMC Golf Club membership dues and green fees, income from driving range, concessions of the restaurants and golf equipment outlets, and such other business-related operations of the golf course</t>
  </si>
  <si>
    <t>06207874</t>
  </si>
  <si>
    <t>Bureau of Corrections Revolving Fund</t>
  </si>
  <si>
    <t>Sale of agro-industrial products, rental income and fines/penalties – R.A. 9206</t>
  </si>
  <si>
    <t>06207880</t>
  </si>
  <si>
    <t>Trust Receipts</t>
  </si>
  <si>
    <t>Custodial Funds</t>
  </si>
  <si>
    <t>Inter-Agency Transferred Fund (IATF)</t>
  </si>
  <si>
    <t>07308601</t>
  </si>
  <si>
    <t>Receipts Deposited with the National Treasury other than IATF</t>
  </si>
  <si>
    <t>07308602</t>
  </si>
  <si>
    <t>Receipts Deposited with Authorized Government Depository Banks (AGDB)</t>
  </si>
  <si>
    <t>07308603</t>
  </si>
  <si>
    <t>REGISTRAR</t>
  </si>
  <si>
    <t>Procurement of Executive Chair  the University  Registrar</t>
  </si>
  <si>
    <t xml:space="preserve"> necessary to support the  daily operation of the University's, these include miscellaneous items, consumables,  and operational materials.</t>
  </si>
  <si>
    <t>Procurement of Various IT Equipment and Accessories  the University  Registrar</t>
  </si>
  <si>
    <t>Procurement of  Dry Seal for the University  Registrar</t>
  </si>
  <si>
    <t>Procurement of  Paper Shredder for the University  Registrar</t>
  </si>
  <si>
    <t>Procurement of  Various Office Suppliesr for the University  Registrar</t>
  </si>
  <si>
    <t>CSWCD</t>
  </si>
  <si>
    <t>Procurement of  Various Office Equipment for the University  CSWCD</t>
  </si>
  <si>
    <t>CSM</t>
  </si>
  <si>
    <t>Procurement of Steel Filling Cabinet for the University  CSM</t>
  </si>
  <si>
    <t>Subscription of Software for the University CSM</t>
  </si>
  <si>
    <t>Procurement of Various Equipment for the University CSM</t>
  </si>
  <si>
    <t>Procurement of  Shredder for the University  ILS HIGH SCHOOL</t>
  </si>
  <si>
    <t>Procurement of  Various Office Supplies for the University  ILS HIGH SCHOOL</t>
  </si>
  <si>
    <t>Procurement of  Printing Services for the University  ILS HIGH SCHOOL</t>
  </si>
  <si>
    <t>Procurement of  Tokens and Awards for the University  ILS HIGH SCHOOL</t>
  </si>
  <si>
    <t>Procurement of  Emergency Lights for the University  ILS HIGH SCHOOL</t>
  </si>
  <si>
    <t>CN</t>
  </si>
  <si>
    <t>Procurement of  Electrical Supplies for the University CN</t>
  </si>
  <si>
    <t>Procurement of Office Table for the University CN</t>
  </si>
  <si>
    <t>Procurement of Various IT Accessories and Peripherals for the University CN</t>
  </si>
  <si>
    <t>Procurement of Various Janitorial Supplies  for the University CN</t>
  </si>
  <si>
    <t>Procurement of Various Equipment  for the University CN</t>
  </si>
  <si>
    <t>Procurement of Various Supplies, Devices, and Consumables and t  for the University CN</t>
  </si>
  <si>
    <t>CAIS</t>
  </si>
  <si>
    <t>Procurement of Meals for conducting various activities at the University CAIS</t>
  </si>
  <si>
    <t>Procurement of Office Chairs  for the University CAIS</t>
  </si>
  <si>
    <t>Procurement of Vaious Janitorial Supplies  for the University CAIS</t>
  </si>
  <si>
    <t>CLAW</t>
  </si>
  <si>
    <t>Procurement of Various Appliances for the University CLAW</t>
  </si>
  <si>
    <t>Procurement of Various IT Equipment and Accesories  for the University CLAW</t>
  </si>
  <si>
    <t>Subscribtion Software  for the University CLAW</t>
  </si>
  <si>
    <t xml:space="preserve">CLA </t>
  </si>
  <si>
    <t>Procurement of LCD Projector for the University CLA</t>
  </si>
  <si>
    <t>Procurement of Various Furnitures for the University CLA</t>
  </si>
  <si>
    <t>Procurement of Various Equipments for the University CLA</t>
  </si>
  <si>
    <t>Procurement of Various Office Supplies and Consumables for the University CLA</t>
  </si>
  <si>
    <t>Procurement of Psychology testing Material software  for the University CLA</t>
  </si>
  <si>
    <t>Procurement of Various Furnitures  for the University CM</t>
  </si>
  <si>
    <t>Procurement of Various Janitorial Supplies for the University CM</t>
  </si>
  <si>
    <t>Procurement of Stainless Dressing Cart for the University CM</t>
  </si>
  <si>
    <t>Procurement of Various Supplies and Consumables for the University CM</t>
  </si>
  <si>
    <t>SUBSCRIPTION (JOURNAL MEDICINE) for the University CM</t>
  </si>
  <si>
    <t>Procurement of Various Equipment  for the Increase in Carrying Capacity of the College of Medicine</t>
  </si>
  <si>
    <t>CPADS</t>
  </si>
  <si>
    <t>Procurement of Various IT  for the University CPADS</t>
  </si>
  <si>
    <t>Procurement of Various Equipment  for the University CPADS</t>
  </si>
  <si>
    <t>Procurement of Various Office Supplies for the University CPADS</t>
  </si>
  <si>
    <t>Procurement of Furniture  for the University CPADS</t>
  </si>
  <si>
    <t>CHE</t>
  </si>
  <si>
    <t>Procurement of Meals Various Training, Workshop and Seminar  for the University CHE</t>
  </si>
  <si>
    <t>Procurement Of Construction Material for the Repair of the Stock Room University CHE</t>
  </si>
  <si>
    <t>CCJE</t>
  </si>
  <si>
    <t>Procurement of Various Supplies and Devices for the University CCJE</t>
  </si>
  <si>
    <t>CSSPE</t>
  </si>
  <si>
    <t>Procurement of Various Furniture  for the University  CSSPE</t>
  </si>
  <si>
    <t>Procurement of Various Equipment for the University  CSSPE</t>
  </si>
  <si>
    <t>Procurement of KYOCERA Toner TK-1175 for the University  CSSPE</t>
  </si>
  <si>
    <t>Procurement of Laptop for the University Faculty</t>
  </si>
  <si>
    <t>Procurement of Varrious Furniture for the University Academe</t>
  </si>
  <si>
    <t>ILS HS</t>
  </si>
  <si>
    <t>CLA</t>
  </si>
  <si>
    <t>CM</t>
  </si>
  <si>
    <t>VPPA</t>
  </si>
  <si>
    <t>COMPETITIVE BIDDING</t>
  </si>
  <si>
    <t xml:space="preserve"> necessary to support the  daily operation of the University's Water Refilling Station, these include miscellaneous items, consumables,  and operational materials.</t>
  </si>
  <si>
    <t>EXAMSOFT ASSESSMENT PLATFORM</t>
  </si>
  <si>
    <t>Printing and Binding of Tarpaulins for the University CLA</t>
  </si>
  <si>
    <t>Procurement of Meals for the conduct of the Accreditation to the University CLA</t>
  </si>
  <si>
    <t>Procurement of Tokens for the conduct of the Accreditation to the University CLA</t>
  </si>
  <si>
    <t>Printing and Binding of Tarpaulins for the University CHE</t>
  </si>
  <si>
    <t>Procurement of Tokens for the conduct of the Accreditation to the University CHE</t>
  </si>
  <si>
    <t>COE</t>
  </si>
  <si>
    <t>Procurement of Meals for the conduct of the Accreditation to the University COE</t>
  </si>
  <si>
    <t>Printing and Binding of Tarpaulins for the University COE</t>
  </si>
  <si>
    <t>Procurement of Tokens for the University COE</t>
  </si>
  <si>
    <t>For Accreditation</t>
  </si>
  <si>
    <t>PRC Licensure Result Certification of BS ABE, BSCE, BSEE, BSECE, BSME, BSGE, BSSE and DOC Stamp</t>
  </si>
  <si>
    <t>Various Activities</t>
  </si>
  <si>
    <t>Proocurement of Tarpaulins for University External Studies Unit</t>
  </si>
  <si>
    <t>Proocurement of Projectors for University External Studies Unit</t>
  </si>
  <si>
    <t>Proocurement of Fuels for University External Studies Unit</t>
  </si>
  <si>
    <t>Proocurement of Furnitures for University External Studies Unit</t>
  </si>
  <si>
    <t xml:space="preserve">Procurement of Monoblack Arm Chair for Olutanga  External Studies Campus </t>
  </si>
  <si>
    <t>Proocurement of Led Monitors for University External Studies Unit</t>
  </si>
  <si>
    <t>Proocurement of Various IT Peripheral for University External Studies Unit</t>
  </si>
  <si>
    <t>Proocurement of Various Janitorial Supplies for University External Studies Unit</t>
  </si>
  <si>
    <t>Rental of  School Building for Pagadian External Studies Campus</t>
  </si>
  <si>
    <t>Proocurement of Various Medical Supplies for University External Studies Unit</t>
  </si>
  <si>
    <t>Proocurement of Various Equipment for University External Studies Unit</t>
  </si>
  <si>
    <t>Proocurement of Various Supplies and Consumables for University External Studies Unit</t>
  </si>
  <si>
    <t>Subscription of Internet Connection for Olutanga</t>
  </si>
  <si>
    <t>ESU</t>
  </si>
  <si>
    <t>Miscellaneous Expenses for University External Studies Unit Accreditation</t>
  </si>
  <si>
    <t>Procurement of Various AGRICULTURAL Chemicals for  the University  Research Activity</t>
  </si>
  <si>
    <t>Procurement of Various AGRICULTURAL Equipment for  the University  Research Activity</t>
  </si>
  <si>
    <t>Procurement of Various Appliances for  the University  Research Activity</t>
  </si>
  <si>
    <t>Procurement of Projectorfor  the University  Research Activity</t>
  </si>
  <si>
    <t>Procurement of Various Chemical   the University  Research Activity</t>
  </si>
  <si>
    <t>Procurement of Various IT Equipment and Perip for the University  Research Activity</t>
  </si>
  <si>
    <t>Procurement of Printing Services for the University  Research Activity</t>
  </si>
  <si>
    <t>Procurement of Various Electrical Supplies for the University  Research Activity</t>
  </si>
  <si>
    <t>Procurement of Various Furnitures for the University  Research Activity</t>
  </si>
  <si>
    <t>Procurement of Various Janitorial Supplies for the University  Research Activity</t>
  </si>
  <si>
    <t>Procurement of Various Medical Equipment and Supplies for the University  Research Activity</t>
  </si>
  <si>
    <t>Procurement of Various Supplies and Consumables for the University Research Activty</t>
  </si>
  <si>
    <t>Procurement of Various Software Subscription for the University Research Activty</t>
  </si>
  <si>
    <t>Procurement of Room Accomdation for the conduct of Sustaining Traditions, Securing Tomorrows: Women at the Heart of Food Security and Sustainability f</t>
  </si>
  <si>
    <t xml:space="preserve">Procurement of Venue for the Conduct various activties for the University Research </t>
  </si>
  <si>
    <t>Research</t>
  </si>
  <si>
    <t>Procurement of Various Seeds for  the University  Research Activity</t>
  </si>
  <si>
    <t>Procurement of Various AGRICULTURAL MACHINERY AND EQUIPMENT for  the University  Extention</t>
  </si>
  <si>
    <t>Procurement of Various AGRICULTURAL PRODUCTST for  the University  Extention</t>
  </si>
  <si>
    <t>Procurement of Various APPLIANCES for  the University  Extention</t>
  </si>
  <si>
    <t>Procurement of Various Audio Visual Equipment for  the University  Extention</t>
  </si>
  <si>
    <t>Procurement of Tarpaulins for  the University  Extention Activities</t>
  </si>
  <si>
    <t>Procurement of Various Educational Materials and Supplies  for the University  Extention Activities</t>
  </si>
  <si>
    <t>Procurement of Various Equipments for the  University  Extention Activities</t>
  </si>
  <si>
    <t>Procurement of Various IT Equipment and Perip for the  University  Extention Activities</t>
  </si>
  <si>
    <t>Procurement of Various Janitorials Supplies for the  University  Extention Activities</t>
  </si>
  <si>
    <t>Rental of Space for the conduct of Various Activities for University Extension Activities</t>
  </si>
  <si>
    <t>Procurement of Various Medical Supplies  for University Extension Activities</t>
  </si>
  <si>
    <t>Procurement of VariousEquipment  for University Extension Activities</t>
  </si>
  <si>
    <t>Procurement of Various Supplies and Consumables  for University Extension Activities</t>
  </si>
  <si>
    <t>Procurement of Various Printing Services for University Extension Activities</t>
  </si>
  <si>
    <t>Procurement of Arnis Stick for University Extension Activities</t>
  </si>
  <si>
    <t>Extension</t>
  </si>
  <si>
    <t xml:space="preserve">Supply and Delivery of Tokens for the University Extension </t>
  </si>
  <si>
    <t>Procurement of Vehicle Parts and Accesoriesf or the University  Water Refilling Station</t>
  </si>
  <si>
    <t>Procurement of Office Supplies and Devices  for the University  Water Refilling Station</t>
  </si>
  <si>
    <t>Procurement of  Annual and Monthly Potability Test for the University Water Refilling Station</t>
  </si>
  <si>
    <t>Procurement of Meals for the University  Center for Continuing Education for Various Training</t>
  </si>
  <si>
    <t xml:space="preserve">Procurement of Flash Drives and Laptops for the University  Center for Continuing Education </t>
  </si>
  <si>
    <t xml:space="preserve">Procurement of Janitorial Supplies for the University  Center for Continuing Education </t>
  </si>
  <si>
    <t xml:space="preserve">Procurement of Equipment for the University  Center for Continuing Education </t>
  </si>
  <si>
    <t xml:space="preserve">Procurement of Supplies and Consumables for the University  Center for Continuing Education </t>
  </si>
  <si>
    <t>Procurement of Resource Person Room Accommodation for the University  Center for Continuing Education Various Training</t>
  </si>
  <si>
    <t>Procurement of Airfare/Land Fare for the University  Center for Continuing Education, Various Training</t>
  </si>
  <si>
    <t>Procurement of Lights and Sound for the University  Center for Continuing Education</t>
  </si>
  <si>
    <t>Procurement of Tokens and Awards for the University  Center for Continuing Education Various Training</t>
  </si>
  <si>
    <t>Supply and Delivery of Various Agricultural Chemicals for the University College of Agrculture</t>
  </si>
  <si>
    <t>Supply and Delivery of Lawn Mower and  Power Sprayer for the University College of Agriculture</t>
  </si>
  <si>
    <t>Supply and Delivery of Agricultural Products for the University College of Agriculture</t>
  </si>
  <si>
    <t>Supply and Delivery of Electrical Supplies for the University College of Agriculture</t>
  </si>
  <si>
    <t xml:space="preserve">Procurement of FUELSLUBRICANTS  for the University  College of Agriculture </t>
  </si>
  <si>
    <t xml:space="preserve">Repair and Maintenance of Incubator and Hatchery </t>
  </si>
  <si>
    <t>Supply and Delivery of Hardware and Construction Supplies for the University College of Agriculture</t>
  </si>
  <si>
    <t>Supply and Delivery of Janitorial Supply for the University College of Agriculture</t>
  </si>
  <si>
    <t>Supply and Delivery of  Kitchenware for the University College of Agriculture</t>
  </si>
  <si>
    <t>Supply and Delivery of Live Stocks for the University College of Agriculture</t>
  </si>
  <si>
    <t>Supply and Delivery of Equipment for the University College of Agriculture</t>
  </si>
  <si>
    <t>Supply and Delivery of Office Furniture for the University LDRRC</t>
  </si>
  <si>
    <t>Supply and Delivery of Information Technology Parts, Accessories, and Peripherals for the University LDRRC</t>
  </si>
  <si>
    <t>Supply and Delivery of Equipment for the University LDRRC</t>
  </si>
  <si>
    <t>Procurement of Office Supplies and Consumables  for the University  LDRRC</t>
  </si>
  <si>
    <t>Procurement of Dyned Subscription for the University  LDRRC</t>
  </si>
  <si>
    <t>Supply and Delivery of Office Furniture for the University UPRESS</t>
  </si>
  <si>
    <t>Procurement of Office Supplies and Consumables  for the University  UPRESS</t>
  </si>
  <si>
    <t>Supply and Delivery of Office Equipment for the University UPRESS</t>
  </si>
  <si>
    <t>Supply and Delivery of IT Accessories for the University UPRESS</t>
  </si>
  <si>
    <t>Supply and Delivery of Furnitue and Equipment  for the University Garments</t>
  </si>
  <si>
    <t>Supply and Delivery of PE Uniform  for the University Garments</t>
  </si>
  <si>
    <t>Supply and Delivery of Various Garments and Accessories for the University Garments</t>
  </si>
  <si>
    <t xml:space="preserve">Repair and Maintenance of Machionery </t>
  </si>
  <si>
    <t>Supply and Delivery of Laptop for the University Garments</t>
  </si>
  <si>
    <t>Procurement of Janitorial Supplies for the University  Garments</t>
  </si>
  <si>
    <t>Supply and Delivery of  Equipment  for the University Garments</t>
  </si>
  <si>
    <t>Procurement of Office Supplies for the University  Garments</t>
  </si>
  <si>
    <t>Supply and Delivery of Tokens for the University Garments</t>
  </si>
  <si>
    <t>Supply and Delivery of Kitchebware for the University Food Serice</t>
  </si>
  <si>
    <t>Procurement of Office Supplies for the University  Food Service</t>
  </si>
  <si>
    <t>Supply and Delivery of Split Type Aircondition Unit with Installation for the OVPRG</t>
  </si>
  <si>
    <t>Procurement of Extension Wire for the OVPRG</t>
  </si>
  <si>
    <t>Supply and Delivery of Appliances  for the OVPRG</t>
  </si>
  <si>
    <t>Supply and Delivery Curtain Blinds and Curtain  with Installation for the OVPRG</t>
  </si>
  <si>
    <t>Supply and Delivery of Furniture  for the OVPRG</t>
  </si>
  <si>
    <t>Supply and Delivery of IT Parts and Accesories  for the OVPRG</t>
  </si>
  <si>
    <t>Procurement of Floor Polisher for the OVPRG</t>
  </si>
  <si>
    <t>Procurement of Janitorial Supplies for the OVPRG</t>
  </si>
  <si>
    <t>Supply and Delivery of Office Equipment for the University OVPRG</t>
  </si>
  <si>
    <t>Procurement of Office Supplies and Consumables for the OVPRG</t>
  </si>
  <si>
    <t>Procurement of Souvenier Item for the OVPRG</t>
  </si>
  <si>
    <t>Procurment of Electrical Supplies for the University's RICME</t>
  </si>
  <si>
    <t>Procurment of Hardware Supplies for the University's RICME</t>
  </si>
  <si>
    <t>Procurment of  3D Filament and 3d Resin Material  for the University's RICME</t>
  </si>
  <si>
    <t>Software Subscription for the University's RICME</t>
  </si>
  <si>
    <t>Supply and Delivery of Appliances for the University's Dormitory</t>
  </si>
  <si>
    <t>Procurement of Janitorial Supplies  for the University's Dormitory</t>
  </si>
  <si>
    <t>Procurement of Office Supplies for the University's Dormitory</t>
  </si>
  <si>
    <t>Resource Generation</t>
  </si>
  <si>
    <t>Supply and Delivery of Animal Feeds for the University College of Agriculture</t>
  </si>
  <si>
    <t>Procurement of Food Stuff for the University  Food Service</t>
  </si>
  <si>
    <t>Procurement of Chemical Detergent for the University RICME</t>
  </si>
  <si>
    <t>Procuremen of LED Bulb for the University's Dormitory</t>
  </si>
  <si>
    <t>Procuremen of Lavatory Faucet  for the University's Dormitory</t>
  </si>
  <si>
    <t>Procurment of Medicinal Kits  for the University's Dormitory</t>
  </si>
  <si>
    <t>Procurement of Multi-Format Video  Switcher with 10.1 Inch Touchscreen for the University  MISTO</t>
  </si>
  <si>
    <t>Procurement of Wireless Intercom Headset System for the University  MISTO</t>
  </si>
  <si>
    <t>Procurement of Automatic Room Lighting System Using Motion Detection  for the University  MISTO</t>
  </si>
  <si>
    <t>Supplyand Delivery of  Furniture   for the University  MISTO</t>
  </si>
  <si>
    <t>Supplyand Delivery of  INFORMATION TECHNOLOGY EQUIPMENT AND ACCESORIES  for the University  MISTO</t>
  </si>
  <si>
    <t>TEC</t>
  </si>
  <si>
    <t>Supply and Delivery of Furniture for the University  TEC</t>
  </si>
  <si>
    <t>Procurement of Wireless Routerfor the University  TEC</t>
  </si>
  <si>
    <t>Supply and Delivery of Office Equipment for the University  TEC</t>
  </si>
  <si>
    <t>Procurement of Office Equipmnet Supplies and Consumables for the University  TEC</t>
  </si>
  <si>
    <t>Supply amnd Delivery of MEDICAL SUPPLIES AND LABORATORY INSTRUMENT for the University   CN LAB</t>
  </si>
  <si>
    <t>Procurement of Office Supplie sand ConsumablesSupplies for the University  CN-RLE</t>
  </si>
  <si>
    <t>Procurement of Electrical Supplies for the University  CN-RLE</t>
  </si>
  <si>
    <t>Procurement of Venetian Roller Blinds   for the University  CN-RLE</t>
  </si>
  <si>
    <t>Supply and Delivery of FURNITURE  for the University  CN-RLE</t>
  </si>
  <si>
    <t>SCUAA</t>
  </si>
  <si>
    <t>Supply and Delivery of Athletics Uniform for the University</t>
  </si>
  <si>
    <t>Supply and Delivery of Athletics Uniform for the University Palaro</t>
  </si>
  <si>
    <t xml:space="preserve">Procurement of Medals  for the University Palaro </t>
  </si>
  <si>
    <t xml:space="preserve">Procurement of  Varoius Sporting Goods  for the University </t>
  </si>
  <si>
    <t>Procurement of  Trophy and Plaque for the University Palaro</t>
  </si>
  <si>
    <t>Procurement of  Junior Executive Chair for the University CSM LAB</t>
  </si>
  <si>
    <t>Supply and Delivery of HARDWARE AND CONSTRUCTION SUPPLIES for the University CSM LAB</t>
  </si>
  <si>
    <t>Procurement of Janitorial Supplies for the University   CSM LAB</t>
  </si>
  <si>
    <t>Procurement of LABORATORY SUPPLIES AND EQUIPMENT for the University   CSM LAB</t>
  </si>
  <si>
    <t>Procurement of Emergency Lights for the University   CSM LAB</t>
  </si>
  <si>
    <t>Procurement of Office Supplies and Consumabkes  for the University   CSM LAB</t>
  </si>
  <si>
    <t>Procurement of Projector  for the University   CSS</t>
  </si>
  <si>
    <t>Procurement of Furnitures  for the University   CSS</t>
  </si>
  <si>
    <t>Procurement of IT Parts and Accesories for the University   CSS</t>
  </si>
  <si>
    <t>Procurement of Appliances for the University Health Service</t>
  </si>
  <si>
    <t>Procurement of Computer Table  for the University Health Service</t>
  </si>
  <si>
    <t>Laboratory Services For The Mandatory Randomized Drug Testing Of College, Postgraduate, And Postbaccalaureate Students</t>
  </si>
  <si>
    <t>Supply and Delivery of DRUGS AND MEDICINES for the University Health Service</t>
  </si>
  <si>
    <t>Procurement of Fuel for the University Health Service</t>
  </si>
  <si>
    <t>Procurement of Furniture for the University Health Service</t>
  </si>
  <si>
    <t>Procurement of Laptop University for the Health Service</t>
  </si>
  <si>
    <t>Procurement of Medical Equipment for the University Health Service</t>
  </si>
  <si>
    <t>Procurement of MEDICAL SUPPLIES AND LABORATORY INSTRUMENT for the  University Health Service</t>
  </si>
  <si>
    <t>Procurement of Offce Supplies for the  University Health Service</t>
  </si>
  <si>
    <t>Prinitng Services for the  University Health Service</t>
  </si>
  <si>
    <t>Procurement of Desktop University for the Health Service</t>
  </si>
  <si>
    <t>Procurement Printer  for the University Health Service</t>
  </si>
  <si>
    <t>OCTA</t>
  </si>
  <si>
    <t>Procurement No More Nails for the University  OCTA</t>
  </si>
  <si>
    <t>Procurement Curtain Blinds for the University  OCTA</t>
  </si>
  <si>
    <t>Procurement of Flutted Panel for the University  OCTA</t>
  </si>
  <si>
    <t>Procurement of Costume for the University  OCTA</t>
  </si>
  <si>
    <t>Procurement of  Smart TV and Laptop  for the University  OCTA</t>
  </si>
  <si>
    <t>Procurement of Offce Supplies for the  University OCTA</t>
  </si>
  <si>
    <t>Procurement of Electric Fan for the  University OCTA</t>
  </si>
  <si>
    <t>GUIDANCE</t>
  </si>
  <si>
    <t xml:space="preserve">Procurement of PSYCHOLOGICAL TESTING MATERIALS  for the  University Guidance </t>
  </si>
  <si>
    <t xml:space="preserve">Procurement of a STEEL FILING CABINET for the  University Guidance </t>
  </si>
  <si>
    <t xml:space="preserve">Procurement of wireles PPT presentation for the  University Guidance </t>
  </si>
  <si>
    <t xml:space="preserve">Procurement of Janitorial Supplies  presentation for the  University Guidance </t>
  </si>
  <si>
    <t xml:space="preserve">Procurement of Equipments  for the  University Guidance </t>
  </si>
  <si>
    <t xml:space="preserve">Procurement of Office Supplies   for the  University Guidance </t>
  </si>
  <si>
    <t>Procurement of Kitchenware   for the  University CHE LAB</t>
  </si>
  <si>
    <t>Procurement of BEDCLOTHES, LINENS AND TOWELS  for the  University CHE RLE</t>
  </si>
  <si>
    <t>LIBRARY</t>
  </si>
  <si>
    <t>Procurement of Vaious Books for the  University Library</t>
  </si>
  <si>
    <t>Procurement of Janitorial Supplies for the  University Library</t>
  </si>
  <si>
    <t>Procurement of Office Equipment for the  University Library</t>
  </si>
  <si>
    <t>Procurement of Office Supplies for the  University Library</t>
  </si>
  <si>
    <t>Procurement of Printing Materials for the  University Library</t>
  </si>
  <si>
    <t>Procurement of IT Accessories and Perip  for the  University CLA</t>
  </si>
  <si>
    <t>MISTO</t>
  </si>
  <si>
    <t>CN LAB</t>
  </si>
  <si>
    <t>CN RLE</t>
  </si>
  <si>
    <t>ATHLECTICS</t>
  </si>
  <si>
    <t>CSS</t>
  </si>
  <si>
    <t>UHS</t>
  </si>
  <si>
    <t xml:space="preserve">CHE </t>
  </si>
  <si>
    <t>Procurement of Janitorial Suppliues for the University   CN LAB</t>
  </si>
  <si>
    <t>Procurement of Morning Towel or the University   CN LAB</t>
  </si>
  <si>
    <t>Multimedia Computer</t>
  </si>
  <si>
    <t>Uninterruptible Power Supply</t>
  </si>
  <si>
    <t>Office Productivity Software</t>
  </si>
  <si>
    <t>Endpoint Detection Software</t>
  </si>
  <si>
    <t>General Purpose Laptops</t>
  </si>
  <si>
    <t xml:space="preserve">Office Productivity Software
</t>
  </si>
  <si>
    <t>Special Purpose Laptops</t>
  </si>
  <si>
    <t>Laptops for Executives</t>
  </si>
  <si>
    <t>All-In-One PC</t>
  </si>
  <si>
    <t xml:space="preserve">Uninterruptible Power Supply
</t>
  </si>
  <si>
    <t>All-In-One Printer</t>
  </si>
  <si>
    <t>Plotter Printer</t>
  </si>
  <si>
    <t xml:space="preserve">RTF Drone
</t>
  </si>
  <si>
    <t>Mirrorless Camera Body  Only</t>
  </si>
  <si>
    <t>Video Camera with Tripod</t>
  </si>
  <si>
    <t>Camera Lens  Only</t>
  </si>
  <si>
    <t xml:space="preserve">Digital Assessment Platform(Barexam)
   </t>
  </si>
  <si>
    <t>Cloud-based Productivity and Management suite</t>
  </si>
  <si>
    <t xml:space="preserve">Smart Interactive Board
</t>
  </si>
  <si>
    <t>Tables with Chairs</t>
  </si>
  <si>
    <t>Cooling Equipment</t>
  </si>
  <si>
    <t>Dome Camera</t>
  </si>
  <si>
    <t>Indoor Access Point</t>
  </si>
  <si>
    <t xml:space="preserve">12-Ports Access POE Switch  </t>
  </si>
  <si>
    <t>Project Management</t>
  </si>
  <si>
    <t>Conversion of Classrooms to E-Classrooms</t>
  </si>
  <si>
    <t>Smart Interactive Board</t>
  </si>
  <si>
    <t>All-IN-One PC</t>
  </si>
  <si>
    <t>Office Productivity Software
Core Features
Word Processing 
Spreadsheet 
Presentation
Email &amp; Calendar
Database 
Compatibility
Operating Systems: Windows 10/11, macOS (latest versions),
Device Access: Supports PC, laptop, tablet, and mobile access
Deployment
License Type: Perpetual or annual subscription (volume license or individual)
User Count: Can be single-user or multi-user with admin console
Installation: Local install and/or web-based (browser access)</t>
  </si>
  <si>
    <t xml:space="preserve">Endpoint Detection Software
Core Protection Features
Real-Time Protection
Constant scanning and monitoring of files, applications, and network activity
Blocks known malware, ransomware, spyware, trojans, worms, and rootkits in real time
On-Demand and Scheduled Scanning
Manual and scheduled scans for full system, quick, or custom areas
Scans external devices (USBs, network drives) automatically upon connection
Heuristic and Behavioral Analysis
Detects unknown or zero-day threats using behavior monitoring and AI models
Flags suspicious activity based on file behavior, process behavior, and system changes
Ransomware Protection
Monitors file access patterns and prevents unauthorized encryption of data
Rollback capabilities to restore files encrypted by ransomware
Email and Web Protection
Scans incoming/outgoing emails, attachments, and web downloads
Blocks phishing sites, unsafe URLs, and scripts in browsers
Security &amp; Compliance
Automatic Updates
Virus definitions and engine updates happen automatically in real-time
Frequent updates from a cloud-based or centralized threat intelligence platform
Quarantine &amp; File Vault
Infected or suspicious files are isolated in a secure area for review/removal
Password-Protected Settings
Prevents users from disabling or modifying antivirus settings
Management and Usability
Centralized Management Console (for enterprise use)
Deploy, configure, monitor, and manage antivirus agents across endpoints
View threat logs, update status, and generate compliance reports
Low Resource Usage
Optimized to run without significant impact on system performance (CPU/memory usage)
User-Friendly Interface
Clear, intuitive dashboard for individual users
Simple threat alerts and action recommendations
Integration &amp; Compatibility
Operating System Support
Windows 10/11, macOS, and major Linux distributions
Optional support for Android/iOS for mobile protection
SIEM/EDR Integration
Compatible with third-party security tools (SIEM, firewalls, EDR solutions)
Support
24/7 Support
Phone, chat, and email support available year-round
Regular knowledge base updates and community forums
</t>
  </si>
  <si>
    <t>12-Ports Access POE Switch</t>
  </si>
  <si>
    <t>Conversion of Classrooms to E-Laboratory</t>
  </si>
  <si>
    <t>Core Switch</t>
  </si>
  <si>
    <t xml:space="preserve">Distribution Switch </t>
  </si>
  <si>
    <t>Transceiver</t>
  </si>
  <si>
    <t>Next Generation Firewall</t>
  </si>
  <si>
    <t>Indoor Access Point
E-Classrooms, offices and other indoor areas will be configured with wireless connection supported by Access Points. 120 units of indoor APs shall be deployed across the campuses while quantities for eClassrooms and eLaboratories were described in its respective sections.
 key features:	
-	1.49 Gbps maximum real-world speed (HE80/HE20)
-	WPA3 and Enhanced Open security
-	Built-in technology that resolves sticky client issues for Wi-Fi 6 
            and Wi-Fi 5 devices
-	OFDMA for enhanced multi-user efficiency
-	IoT-ready Bluetooth 5 and Zigbee support
Specifications.
-	AP type Indoor, dual radio, 5 GHz and 2.4 GHz 802.11ax 2x2 MIMO
-	5 GHz radio Two spatial stream Single User (SU) MIMO for 
            up to 1.2 Gbps wireless data rate with 2SS HE80 802.11ax 
            client devices
-	2.4 GHz radio Two spatial stream Single User (SU) MIMO for 
            up to 574 Mbps (287 Mbps) wireless data rate with 2SS 
            HE40 (HE20) 802.11ax client devices
-	Maximum number of associated client devices Up to 256 
            associated client devices per radio
-	Maximum number of BSSIDs is 16 BSSIDs per radio
-	Two integrated dual-band down tilt omni-directional antennas 
            for 2x2 MIMO with peak antenna gain of 4.9 dBi in 2.4 GHz 
            and 5.7 dBi in 5 GHz. Built-in antennas are optimized for 
            horizontal ceiling mounted orientation of the AP. The down tilt 
            angle for maximum gain is roughly 30 degrees. Combining the 
            patterns of each of the antennas of the MIMO radios, the peak 
            gain of the combined, average pattern is 4.3 dBi in 2.4 GHz and 
            5.6 dBi in 5 GHz.
-	E0: Ethernet wired network port (RJ-45)
-	Auto-sensing link speed (10/100/1000BASE-T) and MDI/MDX
-	PoE-PD: 48Vdc (nominal) 802.3af/at PoE (class 3 or 4)
-	802.3az Energy Efficient Ethernet (EEE)
-	Features include Orthogonal frequency-division multiple access (OFDMA), and cellular optimization. With up to 2 spatial streams (2SS) and 80 MHz channel bandwidth (HE80), the 500 Series provides groundbreaking wireless capabilities for budget-conscious deployments.
-	Handle multiple Wi-Fi 6 capable clients on each channel simultaneously, regardless of device or traffic type. Channel utilization is optimized by handling each transaction via smaller sub-carriers or resource units (RUs), which means that clients are sharing a channel and not competing for airtime and bandwidth.
-	Eliminates sticky client issues by placing Wi-Fi 6 capable devices on the best available AP. Session metrics are used to steer mobile devices to the best AP based on available bandwidth, types of applications being used and traffic type-even as users roam.
-	Uses built-in filtering to automatically minimize the impact of interference from cellular networks, distributed antenna systems (DAS), and commercial small cell or femtocell equipment.
-	Continuously monitor and report hardware energy consumption. They can also be configured to enable or disable capabilities based on available PoE power—ideal when wired switches have exhausted their power budget.
-	WPA3 and Enhanced OpenSupport for stronger encryption and authentication is provided via the latest version of WPA for enterprise protected networks. Enhanced Open offers seamless new protection for users connecting to open networks where each session is automatically encrypted to protect user passwords and data on guest networks
-	WPA2-MPSKMPSK enables simpler passkey management for WPA2 devices—should the Wi-Fi password on one device or device type change.
-	Trusted Platform Module (TPM) for enhanced device assurance.
-	High-density connectivity, each AP must provide connectivity for a maximum of 256 associated clients per radio (512 in total). In real-world scenarios, the maximum recommended client density is dependent on environmental conditions.</t>
  </si>
  <si>
    <t>Outdoor Access Points
The winning bidder shall supply, install and configure 6 units of outdoor APs.
-	Must have the following key features.
-	4x4:4SS MU-MIMO capability
-	Maximum aggregation on air data rates of 3 Gbps (HE80/HE40)
-	Uplink and Downlink Orthogonal Frequency Division Multiple Access (OFDMA), Downlink Multi-User MIMO (MU-MIMO) and cellular co-location. With up to 4 spatial stream and 160 MHz channel capability
-	AI powered technology ensures that all clients are attached to their best serving Access Point. Session metrics, network metrics, applications and client type are used to identify and maintain the best connection
-	IoT-ready Bluetooth 5 and Zigbee support
-	Multi user capability with uplink and downlink multi-user MIMO
-	Device assurance—Use of Trusted Platform Module (TPM) for secure storage of credentials and keys, as well as secure boot
-	Intelligent Power Monitoring (IPM). Enables the AP to continuously monitor and report hardware energy consumption. They can also be configured to enable or disable capabilities based on available PoE power – ideal when wired switches have exhausted their power budget.
specifications.
-	AP type: Outdoor Hardened, Wi-Fi 6 dual radio, 5 GHz 4x4 MIMO and 2.4 GHz 2x2 MIMO
-	Software-configurable dual radio supports 5 GHz (Radio 0) and 2.4 GHz (Radio 1)
5 GHz 
-	Four spatial stream Single User (SU) MIMO for up to 4.8 Gbps wireless data rate to individual 4SS HE160 Wi-Fi 6 client device (max)
-	Two spatial stream Single User (SU) MIMO for up to 1.2 Gbps wireless data rate to individual 2SS HE80 Wi-Fi 6 client device (typical) 
-	Four spatial streams Multiuser (MU) MIMO for up to 4.8 Gbps wireless data rate to up to four 1SS or two 2SS HE160 Wi-Fi 6 DL-MU-MIMO capable client devices simultaneously (max) 
-	Four spatial streams Multiuser (MU) MIMO for up to 2.4 Gbps wireless data rate to up to four 1SS or two 2SS HE80 Wi-Fi 6 DL-MU-MIMO capable client devices simultaneously (typical)
2.4 GHz
-	Two spatial stream Single User (SU) MIMO for up to 575 Mbps wireless data rate to individual 2SS HE40 Wi-Fi 6 client device (max)
-	Two spatial stream Single User (SU) MIMO for up to 287 Mbps wireless data rate to individual 2SS HE20 Wi-Fi 6 client device (typical)
-	Support for up to 512 associated client devices per radio, and up to 16 BSSIDs per radio
Supported frequency bands (country-specific restrictions apply): 
-	2.400 to 2.4835 GHz 
-	5.150 to 5.250 GHz 
-	5.250 to 5.350 GHz 
-	5.470 to 5.725 GHz 
-	5.725 to 5.850 GHz 
-	5.825 to 5.875 GHz
-	Available channels: Dependent on configured regulatory domain
-	Dynamic frequency selection (DFS) optimizes the use of available RF spectrum
-	Supported radio technologies: 
-	802.11b: Direct-sequence spread-spectrum (DSSS) 
-	802.11a/g/n/ac: Orthogonal frequency-division multiplexing (OFDM) 
-	802.11ax: Orthogonal frequency-division multiple access (OFDMA) with up to 16 resource units (RU) 
Supported modulation types: 
-	802.11b: BPSK, QPSK, CCK 
-	802.11a/g/n: BPSK, QPSK, 16-QAM, 64-QAM, 256-QAM (proprietary extension) 
-	802.11ac: BPSK, QPSK, 16-QAM, 64-QAM, 256-QAM, 1024 QAM (proprietary extension) 
-	802.11ax: BPSK, QPSK, 16-QAM, 64-QAM, 256-QAM, 1024 QAM
-	802.11n high-throughput (HT) support: HT 20/40
-	802.11ac very high throughput (VHT) support: VHT 20/40/80/160
-	802.11ax high efficiency (HE) support: HE20/40/80/160
Supported data rates (Mbps): 
-	802.11b: 1, 2, 5.5, 11
-	802.11a/g: 6, 9, 12, 18, 24, 36, 48, 54 
-	802.11n (2.4GHz): 6.5 to 300 (MCS0 to MCS15, HT20 to HT40) 
-	802.11n (5GHz): 6.5 to 600 (MCS0 to MCS31, HT20 to HT40) 
-	802.11ac: (5 GHz): 6.5 to 3,467 (MCS0 to MCS9, NSS = 1 to 4 for VHT20 to VHT160) 
-	802.11ax (2.4GHz): 8.6 to 574 (MCS0 to MCS11, NSS = 1 to 2, HE20 to HE40) 
-	802.11ax (5GHz): 8.6 to 4803 (MCS0 to MCS11, NSS = 1 to 4, HE20 to HE160)
-	802.11n/ac packet aggregation: A-MPDU, A-MSDU
-	Transmit power: Configurable in increments of 0.5 dBm
-	Maximum (conducted) transmit power (limited by local regulatory requirements): 
-	2.4 GHz band: +22 dBm per chain, +25dBm aggregate (2x2) 
-	5 GHz band: +22 dBm per chain, +28dBm aggregate (4x4)
-	Maximum EIRP (limited by local regulatory requirements): 
-	2.4 GHz band: 29.0 dBm EIRP 
-	5 GHz band: 32.6 dBm EIRP
-	Advanced Cellular Coexistence (ACC) minimizes interference from cellular networks.
-	Maximum ratio combining (MRC) for improved receiver performance.
-	Cyclic delay/shift diversity (CDD/CSD) to enable the use of multiple transmit antennas
-	Short guard interval for 20-MHz, 40-MHz, 80-MHz and 160-MHz channels.
-	Space-time block coding (STBC) for increased range and improved reception.
-	Low-density parity check (LDPC) for high-efficiency error correction and increased throughput.
-	Transmit beam-forming (TxBF) for increased signal reliability and range.
-	Maximum (worst-case) power consumption: 
-	POE powered (dual ports): 32.0W 
-	POE powered (single port, full function): 26.1W
-	E0: Multi-gig port (RJ-45) 
-	Auto-sensing link speed (100/1000/2500BASE-T) and MDI/MDX 
-	2.5Gbps speed complies with NBase-T and 802.3bz specifications 
-	PoE-PD: 48Vdc (nominal) 802.3at/bt (Class 4 or higher) - 802.3az Energy Efficient Ethernet (EEE)
-	E1: 100/1000BASE-T (RJ-45)
-	Auto-sensing link speed and MDI/MDX - 802.3az Energy Efficient Ethernet (EEE) 
-	PoE-PD: 48Vdc (nominal) 802.3at/bt (Class 4 or higher)
-	Link Aggregation (LACP) support between both network ports for redundancy and increased capacity
-	Bluetooth 5 and 802.15.4 radio 
-	2.4 GHz
-	Bluetooth 5: up to 8dBm transmit power and -95dBm receive sensitivity 
-	Zigbee: up to 8 dBm transmit power and -97dBm receive sensitivity 
-	Up to 4dBm transmit power (class 2) and -91 dBm receive sensitivity
-	Visual indicator (multi-color LED): For system and radio status
-	Reset button: Factory reset (during device power up)
-	USB-C console interface</t>
  </si>
  <si>
    <t>Out-Of-Band Switch</t>
  </si>
  <si>
    <t>Enterprise Network Management System with Campus Digital Engagement Platform Configuration and Data Governance and Privacy Management System</t>
  </si>
  <si>
    <t>Boom Barriers</t>
  </si>
  <si>
    <t>2-Pathway Turnstile</t>
  </si>
  <si>
    <t>Electromagnetic Lock System</t>
  </si>
  <si>
    <t>Access Control Terminal</t>
  </si>
  <si>
    <t>RFID System</t>
  </si>
  <si>
    <t>RFID Card</t>
  </si>
  <si>
    <t>RFID Printer</t>
  </si>
  <si>
    <t>Installation Services</t>
  </si>
  <si>
    <t>Configuration Services</t>
  </si>
  <si>
    <t>Deployment and Implementation</t>
  </si>
  <si>
    <t>Server Rack</t>
  </si>
  <si>
    <t xml:space="preserve">Power Supply
</t>
  </si>
  <si>
    <t>Leaf Switch</t>
  </si>
  <si>
    <t>Spine Switch</t>
  </si>
  <si>
    <t>Server Compute Nodes</t>
  </si>
  <si>
    <t>Training/Knowledge Transfer</t>
  </si>
  <si>
    <t>Installation and Configuration Services</t>
  </si>
  <si>
    <t>OS Hardening Services</t>
  </si>
  <si>
    <t>Data Analytics</t>
  </si>
  <si>
    <t>Testing and Validation Services</t>
  </si>
  <si>
    <t>Desktop Computer</t>
  </si>
  <si>
    <t>Smart TV</t>
  </si>
  <si>
    <t>Enrollment System</t>
  </si>
  <si>
    <t>Transcript of Records Management System</t>
  </si>
  <si>
    <t>Document Management System</t>
  </si>
  <si>
    <t>Inventory Management System</t>
  </si>
  <si>
    <t xml:space="preserve">Finance System </t>
  </si>
  <si>
    <t>Library Management Information System</t>
  </si>
  <si>
    <t>Horizontal Cabling and Fiber Optic Cable (2 campuses)</t>
  </si>
  <si>
    <t>Collapsible Outdoor LED Wall</t>
  </si>
  <si>
    <t>Outdoor LED wall</t>
  </si>
  <si>
    <t xml:space="preserve">Digital Signage
</t>
  </si>
  <si>
    <t xml:space="preserve">1200 ampheres ACB with Dip Switch Setting Board
</t>
  </si>
  <si>
    <t xml:space="preserve">165KVA 400V 3PH 60Hz Silent Diesel
</t>
  </si>
  <si>
    <t>Web Application Fireawall</t>
  </si>
  <si>
    <t>Server Load Balancincer</t>
  </si>
  <si>
    <t>Firewall Licence</t>
  </si>
  <si>
    <t>UTP Wires</t>
  </si>
  <si>
    <t>RJ 45 Connectors</t>
  </si>
  <si>
    <t>Routers</t>
  </si>
  <si>
    <t>Network Switch</t>
  </si>
  <si>
    <t>Mobile Internet Enterprise</t>
  </si>
  <si>
    <t>Subscription Mobile Internet Enterprise</t>
  </si>
  <si>
    <t>INNOVATIVE LED WALL</t>
  </si>
  <si>
    <t>HCI Application Server with License Virtualization Software</t>
  </si>
  <si>
    <t>Hyper Converged Risk Disaster Site with License Virtualization Software</t>
  </si>
  <si>
    <t>Bandwidth Manager</t>
  </si>
  <si>
    <t>Installation</t>
  </si>
  <si>
    <t>Interactive Board</t>
  </si>
  <si>
    <t>Information</t>
  </si>
  <si>
    <t>WESTERN MINDANAO STATE UNIVERSITY
 Annual Procurement Plan for FY 2026</t>
  </si>
  <si>
    <t>ADOPTION OF DIGITAL LEARNING PLATFORM THROUGH ICT MODERNIZATION(OFFICE PRODUCTIVITY)</t>
  </si>
  <si>
    <t>ADOPTION OF DIGITAL LEARNING PLATFORM THROUGH ICT MODERNIZATION (INTERNAL ICT PROJECT: SMART CLASSROOMS (18) &amp; LABORATORY (10))</t>
  </si>
  <si>
    <t>ADOPTION OF DIGITAL LEARNING PLATFORM THROUGH ICT MODERNIZATION (E-LABORATORY)</t>
  </si>
  <si>
    <t>ADOPTION OF DIGITAL LEARNING PLATFORM THROUGH ICT MODERNIZATION (CAMPUS NETWORK AND SECURITY)</t>
  </si>
  <si>
    <t>ADOPTION OF DIGITAL LEARNING PLATFORM THROUGH ICT MODERNIZATION (VIRTUALIZED INFRASTRUCTURE)</t>
  </si>
  <si>
    <t>ADOPTION OF DIGITAL LEARNING PLATFORM THROUGH ICT MODERNIZATION (COMMAND CENTER)</t>
  </si>
  <si>
    <t>ADOPTION OF DIGITAL LEARNING PLATFORM THROUGH ICT MODERNIZATION (CAMPUS INFORMATION SYSTEM)</t>
  </si>
  <si>
    <t>ADOPTION OF DIGITAL LEARNING PLATFORM THROUGH ICT MODERNIZATION ( CAMPUS NETWORK CABLING /ICT INFRASTRUCTURE OUTLAY)</t>
  </si>
  <si>
    <t>ADOPTION OF DIGITAL LEARNING PLATFORM THROUGH ICT MODERNIZATION ( CAMPUS NETWORK CABLING /DIGITAL DISPLAY)</t>
  </si>
  <si>
    <t>ADOPTION OF DIGITAL LEARNING PLATFORM THROUGH ICT MODERNIZATION ( CAMPUS NETWORK CABLING /ELECTRICAL EQUIPMENT)</t>
  </si>
  <si>
    <t>ADOPTION OF DIGITAL LEARNING PLATFORM THROUGH ICT MODERNIZATION (WEB SECURITY  WITH AND LOAD BALANCING)</t>
  </si>
  <si>
    <t>ADOPTION OF DIGITAL LEARNING PLATFORM THROUGH ICT MODERNIZATION (MOBILE INTERNET USING SATELLITE   )</t>
  </si>
  <si>
    <t>ADOPTION OF DIGITAL LEARNING PLATFORM THROUGH ICT MODERNIZATION (ESTABLISHMENT OF A HYPERCONVERGED INFRASTRUCTURE  )</t>
  </si>
  <si>
    <t>ADOPTION OF DIGITAL LEARNING PLATFORM THROUGH ICT MODERNIZATION (SMART CLASSROOMS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</si>
</sst>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26">
    <font>
      <sz val="11"/>
      <color rgb="FF000000"/>
      <name val="Arial"/>
      <scheme val="minor"/>
    </font>
    <font>
      <sz val="11"/>
      <color theme="1"/>
      <name val="Arial"/>
      <family val="2"/>
      <scheme val="minor"/>
    </font>
    <font>
      <b/>
      <sz val="14"/>
      <color rgb="FF000000"/>
      <name val="Arial"/>
      <family val="2"/>
    </font>
    <font>
      <sz val="11"/>
      <name val="Arial"/>
      <family val="2"/>
    </font>
    <font>
      <sz val="10"/>
      <color rgb="FF000000"/>
      <name val="Arial"/>
      <family val="2"/>
    </font>
    <font>
      <b/>
      <sz val="9"/>
      <color rgb="FF000000"/>
      <name val="Arial"/>
      <family val="2"/>
    </font>
    <font>
      <b/>
      <sz val="8"/>
      <color rgb="FF000000"/>
      <name val="Arial"/>
      <family val="2"/>
    </font>
    <font>
      <sz val="12"/>
      <color rgb="FF000000"/>
      <name val="Arial"/>
      <family val="2"/>
    </font>
    <font>
      <sz val="8"/>
      <color rgb="FF000000"/>
      <name val="Arial"/>
      <family val="2"/>
    </font>
    <font>
      <sz val="11"/>
      <color rgb="FF000000"/>
      <name val="Arial"/>
      <family val="2"/>
    </font>
    <font>
      <b/>
      <sz val="10"/>
      <color rgb="FF000000"/>
      <name val="Arial"/>
      <family val="2"/>
    </font>
    <font>
      <u/>
      <sz val="10"/>
      <color rgb="FF0000FF"/>
      <name val="Arial"/>
      <family val="2"/>
    </font>
    <font>
      <b/>
      <sz val="11"/>
      <color rgb="FF000000"/>
      <name val="Arial"/>
      <family val="2"/>
    </font>
    <font>
      <sz val="12"/>
      <color theme="1"/>
      <name val="Calibri"/>
      <family val="2"/>
    </font>
    <font>
      <sz val="12"/>
      <color rgb="FF000000"/>
      <name val="Calibri"/>
      <family val="2"/>
    </font>
    <font>
      <sz val="11"/>
      <color rgb="FF000000"/>
      <name val="Calibri"/>
      <family val="2"/>
    </font>
    <font>
      <b/>
      <sz val="10"/>
      <color theme="1"/>
      <name val="Arial"/>
      <family val="2"/>
    </font>
    <font>
      <sz val="10"/>
      <color theme="1"/>
      <name val="Arial"/>
      <family val="2"/>
    </font>
    <font>
      <sz val="11"/>
      <color rgb="FF000000"/>
      <name val="Arial1"/>
    </font>
    <font>
      <sz val="11"/>
      <color rgb="FF000000"/>
      <name val="Arial"/>
      <scheme val="minor"/>
    </font>
    <font>
      <sz val="11"/>
      <color theme="1"/>
      <name val="Arial"/>
      <family val="2"/>
    </font>
    <font>
      <sz val="11"/>
      <color rgb="FF000000"/>
      <name val="Arial"/>
      <family val="2"/>
      <scheme val="minor"/>
    </font>
    <font>
      <sz val="10"/>
      <color rgb="FF000000"/>
      <name val="Arial"/>
      <family val="2"/>
      <scheme val="minor"/>
    </font>
    <font>
      <sz val="8"/>
      <name val="Arial"/>
      <family val="2"/>
    </font>
    <font>
      <sz val="8"/>
      <color theme="1"/>
      <name val="Arial"/>
      <family val="2"/>
    </font>
    <font>
      <sz val="8"/>
      <color rgb="FF000000"/>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339966"/>
        <bgColor rgb="FF339966"/>
      </patternFill>
    </fill>
    <fill>
      <patternFill patternType="solid">
        <fgColor rgb="FF92D050"/>
        <bgColor rgb="FF92D050"/>
      </patternFill>
    </fill>
    <fill>
      <patternFill patternType="solid">
        <fgColor rgb="FFA8D08D"/>
        <bgColor rgb="FFA8D08D"/>
      </patternFill>
    </fill>
    <fill>
      <patternFill patternType="solid">
        <fgColor theme="0"/>
        <bgColor indexed="64"/>
      </patternFill>
    </fill>
  </fills>
  <borders count="44">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thin">
        <color rgb="FF000000"/>
      </right>
      <top/>
      <bottom style="double">
        <color rgb="FF000000"/>
      </bottom>
      <diagonal/>
    </border>
    <border>
      <left style="thin">
        <color rgb="FF000000"/>
      </left>
      <right/>
      <top/>
      <bottom style="double">
        <color rgb="FF000000"/>
      </bottom>
      <diagonal/>
    </border>
    <border>
      <left/>
      <right/>
      <top/>
      <bottom style="double">
        <color rgb="FF000000"/>
      </bottom>
      <diagonal/>
    </border>
    <border>
      <left style="thin">
        <color rgb="FF000000"/>
      </left>
      <right style="medium">
        <color rgb="FF000000"/>
      </right>
      <top/>
      <bottom style="double">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9" fillId="0" borderId="0" applyFont="0" applyFill="0" applyBorder="0" applyAlignment="0" applyProtection="0"/>
    <xf numFmtId="0" fontId="1" fillId="0" borderId="4"/>
  </cellStyleXfs>
  <cellXfs count="148">
    <xf numFmtId="0" fontId="0" fillId="0" borderId="0" xfId="0" applyFont="1" applyAlignment="1"/>
    <xf numFmtId="0" fontId="2" fillId="2"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6" fillId="2" borderId="16" xfId="0" applyFont="1" applyFill="1" applyBorder="1" applyAlignment="1">
      <alignment vertical="top" wrapText="1"/>
    </xf>
    <xf numFmtId="0" fontId="5" fillId="2" borderId="16" xfId="0" applyFont="1" applyFill="1" applyBorder="1" applyAlignment="1">
      <alignment horizontal="center" vertical="top" wrapText="1"/>
    </xf>
    <xf numFmtId="0" fontId="6" fillId="2" borderId="20" xfId="0" applyFont="1" applyFill="1" applyBorder="1" applyAlignment="1">
      <alignment horizontal="center" vertical="top" wrapText="1"/>
    </xf>
    <xf numFmtId="0" fontId="6" fillId="2" borderId="21" xfId="0" applyFont="1" applyFill="1" applyBorder="1" applyAlignment="1">
      <alignment horizontal="center" vertical="top" wrapText="1"/>
    </xf>
    <xf numFmtId="0" fontId="6" fillId="2" borderId="22" xfId="0" applyFont="1" applyFill="1" applyBorder="1" applyAlignment="1">
      <alignment horizontal="center" vertical="top" wrapText="1"/>
    </xf>
    <xf numFmtId="0" fontId="5" fillId="2" borderId="21" xfId="0" applyFont="1" applyFill="1" applyBorder="1" applyAlignment="1">
      <alignment horizontal="center" vertical="top" wrapText="1"/>
    </xf>
    <xf numFmtId="0" fontId="5" fillId="2" borderId="22" xfId="0" applyFont="1" applyFill="1" applyBorder="1" applyAlignment="1">
      <alignment horizontal="center" vertical="top" wrapText="1"/>
    </xf>
    <xf numFmtId="0" fontId="5" fillId="2" borderId="20" xfId="0" applyFont="1" applyFill="1" applyBorder="1" applyAlignment="1">
      <alignment horizontal="center" vertical="top" wrapText="1"/>
    </xf>
    <xf numFmtId="1" fontId="7" fillId="0" borderId="16" xfId="0" applyNumberFormat="1" applyFont="1" applyBorder="1" applyAlignment="1">
      <alignment horizontal="center" vertical="center" shrinkToFit="1"/>
    </xf>
    <xf numFmtId="0" fontId="8" fillId="2" borderId="16" xfId="0" applyFont="1" applyFill="1" applyBorder="1" applyAlignment="1">
      <alignment horizontal="left"/>
    </xf>
    <xf numFmtId="15" fontId="8" fillId="2" borderId="16" xfId="0" applyNumberFormat="1" applyFont="1" applyFill="1" applyBorder="1"/>
    <xf numFmtId="0" fontId="8" fillId="2" borderId="16" xfId="0" applyFont="1" applyFill="1" applyBorder="1"/>
    <xf numFmtId="0" fontId="8" fillId="2" borderId="16" xfId="0" applyFont="1" applyFill="1" applyBorder="1" applyAlignment="1">
      <alignment horizontal="center"/>
    </xf>
    <xf numFmtId="0" fontId="8" fillId="2" borderId="25" xfId="0" applyFont="1" applyFill="1" applyBorder="1"/>
    <xf numFmtId="0" fontId="8" fillId="2" borderId="1" xfId="0" applyFont="1" applyFill="1" applyBorder="1"/>
    <xf numFmtId="0" fontId="8" fillId="2" borderId="26" xfId="0" applyFont="1" applyFill="1" applyBorder="1"/>
    <xf numFmtId="0" fontId="8" fillId="2" borderId="27" xfId="0" applyFont="1" applyFill="1" applyBorder="1"/>
    <xf numFmtId="0" fontId="8" fillId="2" borderId="26" xfId="0" applyFont="1" applyFill="1" applyBorder="1" applyAlignment="1">
      <alignment horizontal="center"/>
    </xf>
    <xf numFmtId="0" fontId="8" fillId="2" borderId="27" xfId="0" applyFont="1" applyFill="1" applyBorder="1" applyAlignment="1">
      <alignment horizontal="center"/>
    </xf>
    <xf numFmtId="0" fontId="8" fillId="2" borderId="28" xfId="0" applyFont="1" applyFill="1" applyBorder="1"/>
    <xf numFmtId="0" fontId="9" fillId="2" borderId="1" xfId="0" applyFont="1" applyFill="1" applyBorder="1"/>
    <xf numFmtId="0" fontId="10" fillId="2" borderId="16" xfId="0" applyFont="1" applyFill="1" applyBorder="1" applyAlignment="1">
      <alignment horizontal="center" vertical="center"/>
    </xf>
    <xf numFmtId="0" fontId="9" fillId="0" borderId="0" xfId="0" applyFont="1"/>
    <xf numFmtId="0" fontId="10" fillId="2" borderId="16" xfId="0" applyFont="1" applyFill="1" applyBorder="1"/>
    <xf numFmtId="0" fontId="11" fillId="2" borderId="29" xfId="0" applyFont="1" applyFill="1" applyBorder="1" applyAlignment="1">
      <alignment wrapText="1"/>
    </xf>
    <xf numFmtId="0" fontId="5" fillId="2" borderId="32" xfId="0" applyFont="1" applyFill="1" applyBorder="1" applyAlignment="1">
      <alignment horizontal="center" vertical="center" wrapText="1"/>
    </xf>
    <xf numFmtId="0" fontId="9" fillId="3" borderId="1" xfId="0" applyFont="1" applyFill="1" applyBorder="1"/>
    <xf numFmtId="0" fontId="4" fillId="2" borderId="29" xfId="0" applyFont="1" applyFill="1" applyBorder="1" applyAlignment="1">
      <alignment wrapText="1"/>
    </xf>
    <xf numFmtId="0" fontId="5" fillId="2" borderId="16"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4" fillId="2" borderId="16" xfId="0" applyFont="1" applyFill="1" applyBorder="1" applyAlignment="1">
      <alignment wrapText="1"/>
    </xf>
    <xf numFmtId="0" fontId="5" fillId="2" borderId="1" xfId="0" applyFont="1" applyFill="1" applyBorder="1" applyAlignment="1">
      <alignment horizontal="center" vertical="center" wrapText="1"/>
    </xf>
    <xf numFmtId="0" fontId="9" fillId="2" borderId="16" xfId="0" applyFont="1" applyFill="1" applyBorder="1"/>
    <xf numFmtId="0" fontId="4" fillId="2" borderId="16" xfId="0" applyFont="1" applyFill="1" applyBorder="1" applyAlignment="1">
      <alignment horizontal="center" vertical="center"/>
    </xf>
    <xf numFmtId="0" fontId="4" fillId="4" borderId="16" xfId="0" applyFont="1" applyFill="1" applyBorder="1" applyAlignment="1">
      <alignment vertical="top" wrapText="1"/>
    </xf>
    <xf numFmtId="0" fontId="4" fillId="2" borderId="16" xfId="0" applyFont="1" applyFill="1" applyBorder="1" applyAlignment="1">
      <alignment vertical="top" wrapText="1"/>
    </xf>
    <xf numFmtId="0" fontId="4" fillId="2" borderId="39" xfId="0" applyFont="1" applyFill="1" applyBorder="1" applyAlignment="1">
      <alignment vertical="top" wrapText="1"/>
    </xf>
    <xf numFmtId="0" fontId="4" fillId="2" borderId="29" xfId="0" applyFont="1" applyFill="1" applyBorder="1" applyAlignment="1">
      <alignment horizontal="center" vertical="center"/>
    </xf>
    <xf numFmtId="0" fontId="4" fillId="0" borderId="16" xfId="0" applyFont="1" applyBorder="1" applyAlignment="1">
      <alignment vertical="top" wrapText="1"/>
    </xf>
    <xf numFmtId="0" fontId="9" fillId="2" borderId="1" xfId="0" applyFont="1" applyFill="1" applyBorder="1" applyAlignment="1">
      <alignment wrapText="1"/>
    </xf>
    <xf numFmtId="0" fontId="10" fillId="2" borderId="16" xfId="0" applyFont="1" applyFill="1" applyBorder="1" applyAlignment="1">
      <alignment wrapText="1"/>
    </xf>
    <xf numFmtId="0" fontId="12" fillId="2" borderId="16" xfId="0" applyFont="1" applyFill="1" applyBorder="1" applyAlignment="1">
      <alignment vertical="top" wrapText="1"/>
    </xf>
    <xf numFmtId="0" fontId="13" fillId="0" borderId="40" xfId="0" applyFont="1" applyBorder="1" applyAlignment="1">
      <alignment vertical="center"/>
    </xf>
    <xf numFmtId="0" fontId="4" fillId="0" borderId="0" xfId="0" applyFont="1"/>
    <xf numFmtId="0" fontId="14" fillId="0" borderId="40" xfId="0" applyFont="1" applyBorder="1"/>
    <xf numFmtId="0" fontId="14" fillId="0" borderId="40" xfId="0" applyFont="1" applyBorder="1" applyAlignment="1">
      <alignment vertical="center"/>
    </xf>
    <xf numFmtId="0" fontId="14" fillId="0" borderId="40" xfId="0" applyFont="1" applyBorder="1" applyAlignment="1">
      <alignment horizontal="left" vertical="center"/>
    </xf>
    <xf numFmtId="0" fontId="14" fillId="0" borderId="0" xfId="0" applyFont="1" applyAlignment="1">
      <alignment vertical="center"/>
    </xf>
    <xf numFmtId="0" fontId="14" fillId="0" borderId="0" xfId="0" applyFont="1"/>
    <xf numFmtId="0" fontId="13" fillId="0" borderId="0" xfId="0" applyFont="1" applyAlignment="1">
      <alignment vertical="center"/>
    </xf>
    <xf numFmtId="0" fontId="15" fillId="0" borderId="0" xfId="0" applyFont="1"/>
    <xf numFmtId="0" fontId="9" fillId="0" borderId="41" xfId="0" applyFont="1" applyBorder="1"/>
    <xf numFmtId="0" fontId="9" fillId="0" borderId="42" xfId="0" applyFont="1" applyBorder="1" applyAlignment="1">
      <alignment wrapText="1"/>
    </xf>
    <xf numFmtId="0" fontId="9" fillId="0" borderId="42" xfId="0" applyFont="1" applyBorder="1"/>
    <xf numFmtId="0" fontId="9" fillId="5" borderId="42" xfId="0" applyFont="1" applyFill="1" applyBorder="1"/>
    <xf numFmtId="0" fontId="9" fillId="0" borderId="0" xfId="0" applyFont="1" applyAlignment="1">
      <alignment wrapText="1"/>
    </xf>
    <xf numFmtId="0" fontId="9" fillId="5" borderId="1" xfId="0" applyFont="1" applyFill="1" applyBorder="1"/>
    <xf numFmtId="0" fontId="16" fillId="6" borderId="1" xfId="0" applyFont="1" applyFill="1" applyBorder="1"/>
    <xf numFmtId="0" fontId="16" fillId="0" borderId="0" xfId="0" applyFont="1"/>
    <xf numFmtId="0" fontId="17" fillId="6" borderId="1" xfId="0" applyFont="1" applyFill="1" applyBorder="1"/>
    <xf numFmtId="0" fontId="17" fillId="0" borderId="0" xfId="0" applyFont="1"/>
    <xf numFmtId="0" fontId="7" fillId="2" borderId="16" xfId="0" applyFont="1" applyFill="1" applyBorder="1" applyAlignment="1">
      <alignment horizontal="center"/>
    </xf>
    <xf numFmtId="0" fontId="4" fillId="7" borderId="43" xfId="0" applyFont="1" applyFill="1" applyBorder="1" applyAlignment="1">
      <alignment horizontal="center" vertical="center"/>
    </xf>
    <xf numFmtId="0" fontId="4" fillId="7" borderId="39" xfId="0" applyFont="1" applyFill="1" applyBorder="1" applyAlignment="1">
      <alignment horizontal="center" vertical="center"/>
    </xf>
    <xf numFmtId="0" fontId="9" fillId="7" borderId="36" xfId="0" applyFont="1" applyFill="1" applyBorder="1" applyAlignment="1">
      <alignment vertical="center" wrapText="1"/>
    </xf>
    <xf numFmtId="17" fontId="4" fillId="7" borderId="43" xfId="0" applyNumberFormat="1" applyFont="1" applyFill="1" applyBorder="1" applyAlignment="1">
      <alignment horizontal="center" vertical="center"/>
    </xf>
    <xf numFmtId="43" fontId="4" fillId="7" borderId="39" xfId="1" applyFont="1" applyFill="1" applyBorder="1" applyAlignment="1">
      <alignment horizontal="center" vertical="center"/>
    </xf>
    <xf numFmtId="43" fontId="4" fillId="7" borderId="39" xfId="1" applyFont="1" applyFill="1" applyBorder="1" applyAlignment="1">
      <alignment horizontal="center"/>
    </xf>
    <xf numFmtId="0" fontId="8" fillId="2" borderId="25" xfId="0" applyFont="1" applyFill="1" applyBorder="1" applyAlignment="1">
      <alignment wrapText="1"/>
    </xf>
    <xf numFmtId="0" fontId="4" fillId="7" borderId="43" xfId="0" applyFont="1" applyFill="1" applyBorder="1" applyAlignment="1">
      <alignment vertical="center" wrapText="1"/>
    </xf>
    <xf numFmtId="0" fontId="8" fillId="7" borderId="43" xfId="0" applyFont="1" applyFill="1" applyBorder="1" applyAlignment="1">
      <alignment vertical="center" wrapText="1"/>
    </xf>
    <xf numFmtId="43" fontId="4" fillId="0" borderId="39" xfId="1" applyFont="1" applyFill="1" applyBorder="1" applyAlignment="1">
      <alignment horizontal="center" vertical="center"/>
    </xf>
    <xf numFmtId="43" fontId="4" fillId="0" borderId="39" xfId="1" applyFont="1" applyFill="1" applyBorder="1" applyAlignment="1">
      <alignment horizontal="center"/>
    </xf>
    <xf numFmtId="43" fontId="4" fillId="7" borderId="43" xfId="1" applyFont="1" applyFill="1" applyBorder="1"/>
    <xf numFmtId="0" fontId="20" fillId="0" borderId="29" xfId="0" applyFont="1" applyBorder="1" applyAlignment="1">
      <alignment vertical="center" wrapText="1"/>
    </xf>
    <xf numFmtId="0" fontId="21" fillId="0" borderId="0" xfId="0" applyFont="1" applyAlignment="1"/>
    <xf numFmtId="0" fontId="21" fillId="0" borderId="0" xfId="0" applyFont="1" applyAlignment="1">
      <alignment wrapText="1"/>
    </xf>
    <xf numFmtId="0" fontId="17" fillId="0" borderId="29" xfId="0" applyFont="1" applyBorder="1" applyAlignment="1">
      <alignment vertical="center" wrapText="1"/>
    </xf>
    <xf numFmtId="0" fontId="22" fillId="0" borderId="0" xfId="0" applyFont="1" applyAlignment="1"/>
    <xf numFmtId="0" fontId="8" fillId="7" borderId="39" xfId="0" applyFont="1" applyFill="1" applyBorder="1" applyAlignment="1">
      <alignment horizontal="center" vertical="center"/>
    </xf>
    <xf numFmtId="0" fontId="8" fillId="7" borderId="36" xfId="0" applyFont="1" applyFill="1" applyBorder="1" applyAlignment="1">
      <alignment horizontal="center" vertical="center"/>
    </xf>
    <xf numFmtId="0" fontId="8" fillId="7" borderId="43" xfId="0" applyFont="1" applyFill="1" applyBorder="1" applyAlignment="1">
      <alignment horizontal="center" vertical="center"/>
    </xf>
    <xf numFmtId="0" fontId="24" fillId="0" borderId="16" xfId="0" applyFont="1" applyBorder="1" applyAlignment="1">
      <alignment horizontal="center" vertical="center" wrapText="1"/>
    </xf>
    <xf numFmtId="0" fontId="24" fillId="0" borderId="16" xfId="0" applyFont="1" applyBorder="1" applyAlignment="1">
      <alignment vertical="center" wrapText="1"/>
    </xf>
    <xf numFmtId="0" fontId="25" fillId="0" borderId="0" xfId="0" applyFont="1" applyAlignment="1"/>
    <xf numFmtId="0" fontId="12" fillId="2" borderId="1" xfId="0" applyFont="1" applyFill="1" applyBorder="1" applyAlignment="1">
      <alignment wrapText="1"/>
    </xf>
    <xf numFmtId="0" fontId="9" fillId="7" borderId="43" xfId="0" applyFont="1" applyFill="1" applyBorder="1" applyAlignment="1">
      <alignment horizontal="left" vertical="center" wrapText="1"/>
    </xf>
    <xf numFmtId="0" fontId="1" fillId="0" borderId="43" xfId="2" applyBorder="1" applyAlignment="1">
      <alignment horizontal="center"/>
    </xf>
    <xf numFmtId="0" fontId="4" fillId="2" borderId="16" xfId="0" applyFont="1" applyFill="1" applyBorder="1" applyAlignment="1">
      <alignment horizontal="center"/>
    </xf>
    <xf numFmtId="0" fontId="4" fillId="2" borderId="16" xfId="0" applyFont="1" applyFill="1" applyBorder="1" applyAlignment="1">
      <alignment horizontal="left"/>
    </xf>
    <xf numFmtId="0" fontId="4" fillId="2" borderId="16" xfId="0" applyFont="1" applyFill="1" applyBorder="1"/>
    <xf numFmtId="0" fontId="4" fillId="2" borderId="25" xfId="0" applyFont="1" applyFill="1" applyBorder="1"/>
    <xf numFmtId="0" fontId="9" fillId="2" borderId="16" xfId="0" applyFont="1" applyFill="1" applyBorder="1" applyAlignment="1">
      <alignment horizontal="center"/>
    </xf>
    <xf numFmtId="0" fontId="9" fillId="2" borderId="25" xfId="0" applyFont="1" applyFill="1" applyBorder="1"/>
    <xf numFmtId="0" fontId="17" fillId="0" borderId="16" xfId="0" applyFont="1" applyBorder="1" applyAlignment="1">
      <alignment horizontal="center" vertical="center" wrapText="1"/>
    </xf>
    <xf numFmtId="0" fontId="10" fillId="2" borderId="1" xfId="0" applyFont="1" applyFill="1" applyBorder="1" applyAlignment="1">
      <alignment horizontal="center"/>
    </xf>
    <xf numFmtId="0" fontId="10" fillId="2" borderId="1" xfId="0" applyFont="1" applyFill="1" applyBorder="1" applyAlignment="1">
      <alignment horizontal="center" vertical="center"/>
    </xf>
    <xf numFmtId="43" fontId="4" fillId="2" borderId="16" xfId="0" applyNumberFormat="1" applyFont="1" applyFill="1" applyBorder="1" applyAlignment="1">
      <alignment horizontal="center" vertical="center"/>
    </xf>
    <xf numFmtId="43" fontId="4" fillId="7" borderId="43" xfId="1" applyFont="1" applyFill="1" applyBorder="1" applyAlignment="1">
      <alignment horizontal="right" vertical="center"/>
    </xf>
    <xf numFmtId="0" fontId="22" fillId="0" borderId="0" xfId="0" applyFont="1" applyAlignment="1">
      <alignment vertical="center"/>
    </xf>
    <xf numFmtId="43" fontId="4" fillId="0" borderId="32" xfId="1" applyFont="1" applyFill="1" applyBorder="1"/>
    <xf numFmtId="43" fontId="0" fillId="7" borderId="16" xfId="1" applyFont="1" applyFill="1" applyBorder="1"/>
    <xf numFmtId="43" fontId="4" fillId="7" borderId="32" xfId="1" applyFont="1" applyFill="1" applyBorder="1"/>
    <xf numFmtId="0" fontId="1" fillId="0" borderId="43" xfId="2" applyBorder="1" applyAlignment="1">
      <alignment horizontal="center" vertical="center"/>
    </xf>
    <xf numFmtId="0" fontId="4" fillId="7" borderId="16" xfId="0" applyFont="1" applyFill="1" applyBorder="1" applyAlignment="1">
      <alignment horizontal="center" vertical="center"/>
    </xf>
    <xf numFmtId="43" fontId="8" fillId="2" borderId="16" xfId="1" applyFont="1" applyFill="1" applyBorder="1" applyAlignment="1">
      <alignment horizontal="center"/>
    </xf>
    <xf numFmtId="0" fontId="1" fillId="0" borderId="43" xfId="2" applyFill="1" applyBorder="1" applyAlignment="1">
      <alignment horizontal="center"/>
    </xf>
    <xf numFmtId="0" fontId="17" fillId="0" borderId="29" xfId="0" applyFont="1" applyFill="1" applyBorder="1" applyAlignment="1">
      <alignment vertical="center" wrapText="1"/>
    </xf>
    <xf numFmtId="0" fontId="5" fillId="2" borderId="11" xfId="0" applyFont="1" applyFill="1" applyBorder="1" applyAlignment="1">
      <alignment horizontal="center" vertical="top" wrapText="1"/>
    </xf>
    <xf numFmtId="0" fontId="3" fillId="0" borderId="12" xfId="0" applyFont="1" applyBorder="1"/>
    <xf numFmtId="0" fontId="3" fillId="0" borderId="13" xfId="0" applyFont="1" applyBorder="1"/>
    <xf numFmtId="0" fontId="5" fillId="2" borderId="10" xfId="0" applyFont="1" applyFill="1" applyBorder="1" applyAlignment="1">
      <alignment horizontal="center" vertical="top" wrapText="1"/>
    </xf>
    <xf numFmtId="0" fontId="3" fillId="0" borderId="23" xfId="0" applyFont="1" applyBorder="1"/>
    <xf numFmtId="0" fontId="2" fillId="2" borderId="2" xfId="0" applyFont="1" applyFill="1" applyBorder="1" applyAlignment="1">
      <alignment horizontal="left" wrapText="1"/>
    </xf>
    <xf numFmtId="0" fontId="3" fillId="0" borderId="3" xfId="0" applyFont="1" applyBorder="1"/>
    <xf numFmtId="0" fontId="4" fillId="2" borderId="2" xfId="0" applyFont="1" applyFill="1" applyBorder="1" applyAlignment="1">
      <alignment horizontal="left" vertical="top" wrapText="1"/>
    </xf>
    <xf numFmtId="0" fontId="3" fillId="0" borderId="4" xfId="0" applyFont="1" applyBorder="1"/>
    <xf numFmtId="0" fontId="5" fillId="2" borderId="6" xfId="0" applyFont="1" applyFill="1" applyBorder="1" applyAlignment="1">
      <alignment horizontal="center" vertical="top" wrapText="1"/>
    </xf>
    <xf numFmtId="0" fontId="3" fillId="0" borderId="19" xfId="0" applyFont="1" applyBorder="1"/>
    <xf numFmtId="0" fontId="5" fillId="2" borderId="7" xfId="0" applyFont="1" applyFill="1" applyBorder="1" applyAlignment="1">
      <alignment horizontal="center" vertical="top" wrapText="1"/>
    </xf>
    <xf numFmtId="0" fontId="3" fillId="0" borderId="8" xfId="0" applyFont="1" applyBorder="1"/>
    <xf numFmtId="0" fontId="3" fillId="0" borderId="9" xfId="0" applyFont="1" applyBorder="1"/>
    <xf numFmtId="0" fontId="3" fillId="0" borderId="15" xfId="0" applyFont="1" applyBorder="1"/>
    <xf numFmtId="0" fontId="5" fillId="2" borderId="5" xfId="0" applyFont="1" applyFill="1" applyBorder="1" applyAlignment="1">
      <alignment horizontal="center" vertical="top" wrapText="1"/>
    </xf>
    <xf numFmtId="0" fontId="3" fillId="0" borderId="14" xfId="0" applyFont="1" applyBorder="1"/>
    <xf numFmtId="0" fontId="12" fillId="2" borderId="6" xfId="0" applyFont="1" applyFill="1" applyBorder="1" applyAlignment="1">
      <alignment horizontal="center" vertical="top" wrapText="1"/>
    </xf>
    <xf numFmtId="0" fontId="3" fillId="0" borderId="15" xfId="0" applyFont="1" applyBorder="1" applyAlignment="1">
      <alignment wrapText="1"/>
    </xf>
    <xf numFmtId="0" fontId="6" fillId="2" borderId="6" xfId="0" applyFont="1" applyFill="1" applyBorder="1" applyAlignment="1">
      <alignment horizontal="left" vertical="top" wrapText="1"/>
    </xf>
    <xf numFmtId="0" fontId="23" fillId="0" borderId="15" xfId="0" applyFont="1" applyBorder="1"/>
    <xf numFmtId="0" fontId="3" fillId="0" borderId="17" xfId="0" applyFont="1" applyBorder="1"/>
    <xf numFmtId="0" fontId="3" fillId="0" borderId="18" xfId="0" applyFont="1" applyBorder="1"/>
    <xf numFmtId="0" fontId="12" fillId="2" borderId="35" xfId="0" applyFont="1" applyFill="1" applyBorder="1" applyAlignment="1">
      <alignment horizontal="center" vertical="center" wrapText="1"/>
    </xf>
    <xf numFmtId="0" fontId="3" fillId="0" borderId="36" xfId="0" applyFont="1" applyBorder="1"/>
    <xf numFmtId="0" fontId="3" fillId="0" borderId="37" xfId="0" applyFont="1" applyBorder="1"/>
    <xf numFmtId="0" fontId="3" fillId="0" borderId="38" xfId="0" applyFont="1" applyBorder="1"/>
    <xf numFmtId="0" fontId="10" fillId="2" borderId="24" xfId="0" applyFont="1" applyFill="1" applyBorder="1" applyAlignment="1">
      <alignment horizontal="center" vertical="center"/>
    </xf>
    <xf numFmtId="0" fontId="3" fillId="0" borderId="30" xfId="0" applyFont="1" applyBorder="1"/>
    <xf numFmtId="0" fontId="3" fillId="0" borderId="31" xfId="0" applyFont="1" applyBorder="1"/>
    <xf numFmtId="0" fontId="10" fillId="2" borderId="33" xfId="0" applyFont="1" applyFill="1" applyBorder="1" applyAlignment="1">
      <alignment horizontal="center"/>
    </xf>
    <xf numFmtId="0" fontId="4" fillId="2" borderId="33" xfId="0" applyFont="1" applyFill="1" applyBorder="1" applyAlignment="1">
      <alignment horizontal="left" vertical="center" wrapText="1"/>
    </xf>
    <xf numFmtId="0" fontId="5" fillId="2" borderId="33"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3" fillId="0" borderId="34" xfId="0" applyFont="1" applyBorder="1"/>
  </cellXfs>
  <cellStyles count="3">
    <cellStyle name="Comma" xfId="1" builtinId="3"/>
    <cellStyle name="Normal" xfId="0" builtinId="0"/>
    <cellStyle name="Normal 3" xfId="2"/>
  </cellStyles>
  <dxfs count="783">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esktop\PPMP%20FY%202026\FOR%20APP%20FY%202026%20SEMI%20FINAL\HE\ESU%20PPMP%202026%20Consoli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MP Template"/>
      <sheetName val="Pricelist"/>
      <sheetName val="Categories "/>
      <sheetName val="Capital Outlay and Wish List"/>
      <sheetName val="PRE"/>
      <sheetName val="Categories"/>
      <sheetName val="PRE (IGP)"/>
    </sheetNames>
    <sheetDataSet>
      <sheetData sheetId="0" refreshError="1">
        <row r="15">
          <cell r="F15">
            <v>14000</v>
          </cell>
        </row>
        <row r="16">
          <cell r="F16">
            <v>3504</v>
          </cell>
        </row>
        <row r="52">
          <cell r="F52">
            <v>32976</v>
          </cell>
        </row>
        <row r="53">
          <cell r="F53">
            <v>9768</v>
          </cell>
        </row>
        <row r="54">
          <cell r="F54">
            <v>6200</v>
          </cell>
        </row>
        <row r="55">
          <cell r="F55">
            <v>12768</v>
          </cell>
        </row>
        <row r="56">
          <cell r="F56">
            <v>9972</v>
          </cell>
        </row>
        <row r="58">
          <cell r="F58">
            <v>11856</v>
          </cell>
        </row>
        <row r="59">
          <cell r="F59">
            <v>2352</v>
          </cell>
        </row>
        <row r="60">
          <cell r="F60">
            <v>4800</v>
          </cell>
        </row>
        <row r="93">
          <cell r="F93">
            <v>36000</v>
          </cell>
        </row>
        <row r="99">
          <cell r="F99">
            <v>18000</v>
          </cell>
        </row>
        <row r="122">
          <cell r="F122">
            <v>32976</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dbm.gov.ph/wp-content/uploads/UACS/UACS%20Prim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63"/>
  <sheetViews>
    <sheetView tabSelected="1" topLeftCell="F237" zoomScaleNormal="100" workbookViewId="0">
      <selection activeCell="N242" sqref="N242"/>
    </sheetView>
  </sheetViews>
  <sheetFormatPr defaultColWidth="12.625" defaultRowHeight="15" customHeight="1"/>
  <cols>
    <col min="1" max="1" width="20.375" customWidth="1"/>
    <col min="2" max="2" width="34.875" style="81" customWidth="1"/>
    <col min="3" max="3" width="20.375" customWidth="1"/>
    <col min="4" max="4" width="16.375" style="89" customWidth="1"/>
    <col min="5" max="5" width="51" customWidth="1"/>
    <col min="6" max="6" width="10.875" customWidth="1"/>
    <col min="7" max="7" width="10" customWidth="1"/>
    <col min="8" max="9" width="9.75" customWidth="1"/>
    <col min="10" max="10" width="34" customWidth="1"/>
    <col min="11" max="11" width="14.375" style="83" bestFit="1" customWidth="1"/>
    <col min="12" max="12" width="14.375" style="104" bestFit="1" customWidth="1"/>
    <col min="13" max="13" width="11.25" bestFit="1" customWidth="1"/>
    <col min="14" max="14" width="36.375" customWidth="1"/>
    <col min="15" max="43" width="8.375" hidden="1" customWidth="1"/>
  </cols>
  <sheetData>
    <row r="1" spans="1:43" ht="36.75" customHeight="1">
      <c r="A1" s="1"/>
      <c r="B1" s="90"/>
      <c r="C1" s="2"/>
      <c r="D1" s="118" t="s">
        <v>2031</v>
      </c>
      <c r="E1" s="119"/>
      <c r="F1" s="1"/>
      <c r="G1" s="1"/>
      <c r="H1" s="1"/>
      <c r="I1" s="1"/>
      <c r="J1" s="1"/>
      <c r="K1" s="100"/>
      <c r="L1" s="101"/>
      <c r="M1" s="3"/>
      <c r="N1" s="1"/>
      <c r="O1" s="2" t="s">
        <v>0</v>
      </c>
      <c r="P1" s="1"/>
      <c r="Q1" s="1"/>
      <c r="R1" s="1"/>
      <c r="S1" s="1"/>
      <c r="T1" s="1"/>
      <c r="U1" s="1"/>
      <c r="V1" s="1"/>
      <c r="W1" s="1"/>
      <c r="X1" s="1"/>
      <c r="Y1" s="1"/>
      <c r="Z1" s="1"/>
      <c r="AA1" s="1"/>
      <c r="AB1" s="1"/>
      <c r="AC1" s="1"/>
      <c r="AD1" s="3"/>
      <c r="AE1" s="3"/>
      <c r="AF1" s="3"/>
      <c r="AG1" s="3"/>
      <c r="AH1" s="1"/>
      <c r="AI1" s="1"/>
      <c r="AJ1" s="1"/>
      <c r="AK1" s="1"/>
      <c r="AL1" s="1"/>
      <c r="AM1" s="1"/>
      <c r="AN1" s="1"/>
      <c r="AO1" s="1"/>
      <c r="AP1" s="1"/>
      <c r="AQ1" s="1"/>
    </row>
    <row r="2" spans="1:43" ht="135" customHeight="1">
      <c r="A2" s="120" t="s">
        <v>1</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row>
    <row r="3" spans="1:43" ht="18" customHeight="1">
      <c r="A3" s="128" t="s">
        <v>2</v>
      </c>
      <c r="B3" s="130" t="s">
        <v>3</v>
      </c>
      <c r="C3" s="122" t="s">
        <v>4</v>
      </c>
      <c r="D3" s="132" t="s">
        <v>5</v>
      </c>
      <c r="E3" s="122" t="s">
        <v>6</v>
      </c>
      <c r="F3" s="124" t="s">
        <v>7</v>
      </c>
      <c r="G3" s="125"/>
      <c r="H3" s="125"/>
      <c r="I3" s="126"/>
      <c r="J3" s="122" t="s">
        <v>8</v>
      </c>
      <c r="K3" s="124" t="s">
        <v>9</v>
      </c>
      <c r="L3" s="125"/>
      <c r="M3" s="126"/>
      <c r="N3" s="116" t="s">
        <v>10</v>
      </c>
      <c r="O3" s="128" t="s">
        <v>11</v>
      </c>
      <c r="P3" s="122" t="s">
        <v>6</v>
      </c>
      <c r="Q3" s="113" t="s">
        <v>7</v>
      </c>
      <c r="R3" s="114"/>
      <c r="S3" s="114"/>
      <c r="T3" s="114"/>
      <c r="U3" s="114"/>
      <c r="V3" s="114"/>
      <c r="W3" s="114"/>
      <c r="X3" s="114"/>
      <c r="Y3" s="114"/>
      <c r="Z3" s="114"/>
      <c r="AA3" s="114"/>
      <c r="AB3" s="115"/>
      <c r="AC3" s="122" t="s">
        <v>8</v>
      </c>
      <c r="AD3" s="113" t="s">
        <v>12</v>
      </c>
      <c r="AE3" s="114"/>
      <c r="AF3" s="115"/>
      <c r="AG3" s="122" t="s">
        <v>13</v>
      </c>
      <c r="AH3" s="113" t="s">
        <v>14</v>
      </c>
      <c r="AI3" s="114"/>
      <c r="AJ3" s="114"/>
      <c r="AK3" s="114"/>
      <c r="AL3" s="114"/>
      <c r="AM3" s="114"/>
      <c r="AN3" s="114"/>
      <c r="AO3" s="114"/>
      <c r="AP3" s="115"/>
      <c r="AQ3" s="116" t="s">
        <v>15</v>
      </c>
    </row>
    <row r="4" spans="1:43" ht="36.75" customHeight="1">
      <c r="A4" s="129"/>
      <c r="B4" s="131"/>
      <c r="C4" s="127"/>
      <c r="D4" s="133"/>
      <c r="E4" s="127"/>
      <c r="F4" s="4" t="s">
        <v>16</v>
      </c>
      <c r="G4" s="4" t="s">
        <v>17</v>
      </c>
      <c r="H4" s="4" t="s">
        <v>18</v>
      </c>
      <c r="I4" s="4" t="s">
        <v>19</v>
      </c>
      <c r="J4" s="127"/>
      <c r="K4" s="5" t="s">
        <v>20</v>
      </c>
      <c r="L4" s="32" t="s">
        <v>21</v>
      </c>
      <c r="M4" s="5" t="s">
        <v>22</v>
      </c>
      <c r="N4" s="134"/>
      <c r="O4" s="135"/>
      <c r="P4" s="123"/>
      <c r="Q4" s="6" t="s">
        <v>23</v>
      </c>
      <c r="R4" s="7" t="s">
        <v>24</v>
      </c>
      <c r="S4" s="8" t="s">
        <v>25</v>
      </c>
      <c r="T4" s="8" t="s">
        <v>26</v>
      </c>
      <c r="U4" s="8" t="s">
        <v>27</v>
      </c>
      <c r="V4" s="8" t="s">
        <v>28</v>
      </c>
      <c r="W4" s="8" t="s">
        <v>29</v>
      </c>
      <c r="X4" s="8" t="s">
        <v>30</v>
      </c>
      <c r="Y4" s="8" t="s">
        <v>19</v>
      </c>
      <c r="Z4" s="8" t="s">
        <v>31</v>
      </c>
      <c r="AA4" s="8" t="s">
        <v>32</v>
      </c>
      <c r="AB4" s="8" t="s">
        <v>33</v>
      </c>
      <c r="AC4" s="123"/>
      <c r="AD4" s="9" t="s">
        <v>20</v>
      </c>
      <c r="AE4" s="10" t="s">
        <v>21</v>
      </c>
      <c r="AF4" s="11" t="s">
        <v>22</v>
      </c>
      <c r="AG4" s="123"/>
      <c r="AH4" s="7" t="s">
        <v>34</v>
      </c>
      <c r="AI4" s="8" t="s">
        <v>25</v>
      </c>
      <c r="AJ4" s="8" t="s">
        <v>26</v>
      </c>
      <c r="AK4" s="8" t="s">
        <v>27</v>
      </c>
      <c r="AL4" s="8" t="s">
        <v>28</v>
      </c>
      <c r="AM4" s="8" t="s">
        <v>29</v>
      </c>
      <c r="AN4" s="8" t="s">
        <v>30</v>
      </c>
      <c r="AO4" s="8" t="s">
        <v>19</v>
      </c>
      <c r="AP4" s="8" t="s">
        <v>32</v>
      </c>
      <c r="AQ4" s="117"/>
    </row>
    <row r="5" spans="1:43" ht="36.75" customHeight="1">
      <c r="A5" s="67" t="str">
        <f>C5</f>
        <v>5020399000</v>
      </c>
      <c r="B5" s="69" t="s">
        <v>1669</v>
      </c>
      <c r="C5" s="92" t="s">
        <v>209</v>
      </c>
      <c r="D5" s="84" t="s">
        <v>1668</v>
      </c>
      <c r="E5" s="13" t="s">
        <v>109</v>
      </c>
      <c r="F5" s="70">
        <v>46023</v>
      </c>
      <c r="G5" s="70"/>
      <c r="H5" s="14"/>
      <c r="I5" s="70">
        <v>46357</v>
      </c>
      <c r="J5" s="15" t="s">
        <v>75</v>
      </c>
      <c r="K5" s="102">
        <f>L5+M5</f>
        <v>6000</v>
      </c>
      <c r="L5" s="71">
        <v>6000</v>
      </c>
      <c r="M5" s="16"/>
      <c r="N5" s="73" t="s">
        <v>1670</v>
      </c>
      <c r="O5" s="18"/>
      <c r="P5" s="19"/>
      <c r="Q5" s="19"/>
      <c r="R5" s="19"/>
      <c r="S5" s="19"/>
      <c r="T5" s="19"/>
      <c r="U5" s="19"/>
      <c r="V5" s="19"/>
      <c r="W5" s="19"/>
      <c r="X5" s="19"/>
      <c r="Y5" s="19"/>
      <c r="Z5" s="19"/>
      <c r="AA5" s="19"/>
      <c r="AB5" s="19"/>
      <c r="AC5" s="20"/>
      <c r="AD5" s="21"/>
      <c r="AE5" s="21"/>
      <c r="AF5" s="22"/>
      <c r="AG5" s="21"/>
      <c r="AH5" s="19"/>
      <c r="AI5" s="19"/>
      <c r="AJ5" s="19"/>
      <c r="AK5" s="19"/>
      <c r="AL5" s="19"/>
      <c r="AM5" s="19"/>
      <c r="AN5" s="19"/>
      <c r="AO5" s="19"/>
      <c r="AP5" s="20"/>
      <c r="AQ5" s="23"/>
    </row>
    <row r="6" spans="1:43" ht="36.75" customHeight="1">
      <c r="A6" s="67" t="str">
        <f>C6</f>
        <v>5020399000</v>
      </c>
      <c r="B6" s="69" t="s">
        <v>1671</v>
      </c>
      <c r="C6" s="92" t="s">
        <v>209</v>
      </c>
      <c r="D6" s="84" t="s">
        <v>1668</v>
      </c>
      <c r="E6" s="13" t="s">
        <v>74</v>
      </c>
      <c r="F6" s="70">
        <v>46023</v>
      </c>
      <c r="G6" s="70"/>
      <c r="H6" s="14"/>
      <c r="I6" s="70">
        <v>46357</v>
      </c>
      <c r="J6" s="15" t="s">
        <v>75</v>
      </c>
      <c r="K6" s="102">
        <f t="shared" ref="K6:K53" si="0">L6+M6</f>
        <v>463898</v>
      </c>
      <c r="L6" s="71">
        <v>463898</v>
      </c>
      <c r="M6" s="16"/>
      <c r="N6" s="73" t="s">
        <v>1670</v>
      </c>
      <c r="O6" s="18"/>
      <c r="P6" s="19"/>
      <c r="Q6" s="19"/>
      <c r="R6" s="19"/>
      <c r="S6" s="19"/>
      <c r="T6" s="19"/>
      <c r="U6" s="19"/>
      <c r="V6" s="19"/>
      <c r="W6" s="19"/>
      <c r="X6" s="19"/>
      <c r="Y6" s="19"/>
      <c r="Z6" s="19"/>
      <c r="AA6" s="19"/>
      <c r="AB6" s="19"/>
      <c r="AC6" s="20"/>
      <c r="AD6" s="21"/>
      <c r="AE6" s="21"/>
      <c r="AF6" s="22"/>
      <c r="AG6" s="21"/>
      <c r="AH6" s="19"/>
      <c r="AI6" s="19"/>
      <c r="AJ6" s="19"/>
      <c r="AK6" s="19"/>
      <c r="AL6" s="19"/>
      <c r="AM6" s="19"/>
      <c r="AN6" s="19"/>
      <c r="AO6" s="19"/>
      <c r="AP6" s="20"/>
      <c r="AQ6" s="23"/>
    </row>
    <row r="7" spans="1:43" ht="36.75" customHeight="1">
      <c r="A7" s="67" t="str">
        <f t="shared" ref="A7:A70" si="1">C7</f>
        <v>5020399000</v>
      </c>
      <c r="B7" s="69" t="s">
        <v>1672</v>
      </c>
      <c r="C7" s="92" t="s">
        <v>209</v>
      </c>
      <c r="D7" s="84" t="s">
        <v>1668</v>
      </c>
      <c r="E7" s="13" t="s">
        <v>109</v>
      </c>
      <c r="F7" s="70">
        <v>46023</v>
      </c>
      <c r="G7" s="70"/>
      <c r="H7" s="14"/>
      <c r="I7" s="70">
        <v>46357</v>
      </c>
      <c r="J7" s="15" t="s">
        <v>75</v>
      </c>
      <c r="K7" s="102">
        <f t="shared" si="0"/>
        <v>30000</v>
      </c>
      <c r="L7" s="71">
        <v>30000</v>
      </c>
      <c r="M7" s="16"/>
      <c r="N7" s="73" t="s">
        <v>1670</v>
      </c>
      <c r="O7" s="18"/>
      <c r="P7" s="19"/>
      <c r="Q7" s="19"/>
      <c r="R7" s="19"/>
      <c r="S7" s="19"/>
      <c r="T7" s="19"/>
      <c r="U7" s="19"/>
      <c r="V7" s="19"/>
      <c r="W7" s="19"/>
      <c r="X7" s="19"/>
      <c r="Y7" s="19"/>
      <c r="Z7" s="19"/>
      <c r="AA7" s="19"/>
      <c r="AB7" s="19"/>
      <c r="AC7" s="20"/>
      <c r="AD7" s="21"/>
      <c r="AE7" s="21"/>
      <c r="AF7" s="22"/>
      <c r="AG7" s="21"/>
      <c r="AH7" s="19"/>
      <c r="AI7" s="19"/>
      <c r="AJ7" s="19"/>
      <c r="AK7" s="19"/>
      <c r="AL7" s="19"/>
      <c r="AM7" s="19"/>
      <c r="AN7" s="19"/>
      <c r="AO7" s="19"/>
      <c r="AP7" s="20"/>
      <c r="AQ7" s="23"/>
    </row>
    <row r="8" spans="1:43" ht="36.75" customHeight="1">
      <c r="A8" s="67" t="str">
        <f t="shared" si="1"/>
        <v>5020399000</v>
      </c>
      <c r="B8" s="69" t="s">
        <v>1673</v>
      </c>
      <c r="C8" s="92" t="s">
        <v>209</v>
      </c>
      <c r="D8" s="84" t="s">
        <v>1668</v>
      </c>
      <c r="E8" s="13" t="s">
        <v>74</v>
      </c>
      <c r="F8" s="70">
        <v>46023</v>
      </c>
      <c r="G8" s="70"/>
      <c r="H8" s="14"/>
      <c r="I8" s="70">
        <v>46357</v>
      </c>
      <c r="J8" s="15" t="s">
        <v>75</v>
      </c>
      <c r="K8" s="102">
        <f t="shared" si="0"/>
        <v>6700</v>
      </c>
      <c r="L8" s="71">
        <v>6700</v>
      </c>
      <c r="M8" s="16"/>
      <c r="N8" s="73" t="s">
        <v>1670</v>
      </c>
      <c r="O8" s="18"/>
      <c r="P8" s="19"/>
      <c r="Q8" s="19"/>
      <c r="R8" s="19"/>
      <c r="S8" s="19"/>
      <c r="T8" s="19"/>
      <c r="U8" s="19"/>
      <c r="V8" s="19"/>
      <c r="W8" s="19"/>
      <c r="X8" s="19"/>
      <c r="Y8" s="19"/>
      <c r="Z8" s="19"/>
      <c r="AA8" s="19"/>
      <c r="AB8" s="19"/>
      <c r="AC8" s="20"/>
      <c r="AD8" s="21"/>
      <c r="AE8" s="21"/>
      <c r="AF8" s="22"/>
      <c r="AG8" s="21"/>
      <c r="AH8" s="19"/>
      <c r="AI8" s="19"/>
      <c r="AJ8" s="19"/>
      <c r="AK8" s="19"/>
      <c r="AL8" s="19"/>
      <c r="AM8" s="19"/>
      <c r="AN8" s="19"/>
      <c r="AO8" s="19"/>
      <c r="AP8" s="20"/>
      <c r="AQ8" s="23"/>
    </row>
    <row r="9" spans="1:43" ht="36.75" customHeight="1">
      <c r="A9" s="67" t="str">
        <f t="shared" si="1"/>
        <v>5020301000</v>
      </c>
      <c r="B9" s="69" t="s">
        <v>1674</v>
      </c>
      <c r="C9" s="92" t="s">
        <v>140</v>
      </c>
      <c r="D9" s="84" t="s">
        <v>1668</v>
      </c>
      <c r="E9" s="13" t="s">
        <v>74</v>
      </c>
      <c r="F9" s="70">
        <v>46023</v>
      </c>
      <c r="G9" s="70"/>
      <c r="H9" s="14"/>
      <c r="I9" s="70">
        <v>46357</v>
      </c>
      <c r="J9" s="15" t="s">
        <v>75</v>
      </c>
      <c r="K9" s="102">
        <f t="shared" si="0"/>
        <v>2776955</v>
      </c>
      <c r="L9" s="71">
        <v>2776955</v>
      </c>
      <c r="M9" s="16"/>
      <c r="N9" s="73" t="s">
        <v>1670</v>
      </c>
      <c r="O9" s="18"/>
      <c r="P9" s="19"/>
      <c r="Q9" s="19"/>
      <c r="R9" s="19"/>
      <c r="S9" s="19"/>
      <c r="T9" s="19"/>
      <c r="U9" s="19"/>
      <c r="V9" s="19"/>
      <c r="W9" s="19"/>
      <c r="X9" s="19"/>
      <c r="Y9" s="19"/>
      <c r="Z9" s="19"/>
      <c r="AA9" s="19"/>
      <c r="AB9" s="19"/>
      <c r="AC9" s="20"/>
      <c r="AD9" s="21"/>
      <c r="AE9" s="21"/>
      <c r="AF9" s="22"/>
      <c r="AG9" s="21"/>
      <c r="AH9" s="19"/>
      <c r="AI9" s="19"/>
      <c r="AJ9" s="19"/>
      <c r="AK9" s="19"/>
      <c r="AL9" s="19"/>
      <c r="AM9" s="19"/>
      <c r="AN9" s="19"/>
      <c r="AO9" s="19"/>
      <c r="AP9" s="20"/>
      <c r="AQ9" s="23"/>
    </row>
    <row r="10" spans="1:43" ht="36.75" customHeight="1">
      <c r="A10" s="67" t="str">
        <f t="shared" si="1"/>
        <v>5020399000</v>
      </c>
      <c r="B10" s="69" t="s">
        <v>1676</v>
      </c>
      <c r="C10" s="92" t="s">
        <v>209</v>
      </c>
      <c r="D10" s="85" t="s">
        <v>1675</v>
      </c>
      <c r="E10" s="13" t="s">
        <v>74</v>
      </c>
      <c r="F10" s="70">
        <v>46023</v>
      </c>
      <c r="G10" s="70"/>
      <c r="H10" s="14"/>
      <c r="I10" s="70">
        <v>46357</v>
      </c>
      <c r="J10" s="15" t="s">
        <v>75</v>
      </c>
      <c r="K10" s="102">
        <f t="shared" si="0"/>
        <v>30817.599999999999</v>
      </c>
      <c r="L10" s="71">
        <v>30817.599999999999</v>
      </c>
      <c r="M10" s="16"/>
      <c r="N10" s="73" t="s">
        <v>1670</v>
      </c>
      <c r="O10" s="18"/>
      <c r="P10" s="19"/>
      <c r="Q10" s="19"/>
      <c r="R10" s="19"/>
      <c r="S10" s="19"/>
      <c r="T10" s="19"/>
      <c r="U10" s="19"/>
      <c r="V10" s="19"/>
      <c r="W10" s="19"/>
      <c r="X10" s="19"/>
      <c r="Y10" s="19"/>
      <c r="Z10" s="19"/>
      <c r="AA10" s="19"/>
      <c r="AB10" s="19"/>
      <c r="AC10" s="20"/>
      <c r="AD10" s="21"/>
      <c r="AE10" s="21"/>
      <c r="AF10" s="22"/>
      <c r="AG10" s="21"/>
      <c r="AH10" s="19"/>
      <c r="AI10" s="19"/>
      <c r="AJ10" s="19"/>
      <c r="AK10" s="19"/>
      <c r="AL10" s="19"/>
      <c r="AM10" s="19"/>
      <c r="AN10" s="19"/>
      <c r="AO10" s="19"/>
      <c r="AP10" s="20"/>
      <c r="AQ10" s="23"/>
    </row>
    <row r="11" spans="1:43" ht="36.75" customHeight="1">
      <c r="A11" s="67" t="str">
        <f t="shared" si="1"/>
        <v>5020399000</v>
      </c>
      <c r="B11" s="69" t="s">
        <v>1678</v>
      </c>
      <c r="C11" s="92" t="s">
        <v>209</v>
      </c>
      <c r="D11" s="85" t="s">
        <v>1677</v>
      </c>
      <c r="E11" s="13" t="s">
        <v>109</v>
      </c>
      <c r="F11" s="70">
        <v>46023</v>
      </c>
      <c r="G11" s="70"/>
      <c r="H11" s="14"/>
      <c r="I11" s="70">
        <v>46357</v>
      </c>
      <c r="J11" s="15" t="s">
        <v>75</v>
      </c>
      <c r="K11" s="102">
        <f t="shared" si="0"/>
        <v>39072</v>
      </c>
      <c r="L11" s="71">
        <v>39072</v>
      </c>
      <c r="M11" s="16"/>
      <c r="N11" s="73" t="s">
        <v>1670</v>
      </c>
      <c r="O11" s="18"/>
      <c r="P11" s="19"/>
      <c r="Q11" s="19"/>
      <c r="R11" s="19"/>
      <c r="S11" s="19"/>
      <c r="T11" s="19"/>
      <c r="U11" s="19"/>
      <c r="V11" s="19"/>
      <c r="W11" s="19"/>
      <c r="X11" s="19"/>
      <c r="Y11" s="19"/>
      <c r="Z11" s="19"/>
      <c r="AA11" s="19"/>
      <c r="AB11" s="19"/>
      <c r="AC11" s="20"/>
      <c r="AD11" s="21"/>
      <c r="AE11" s="21"/>
      <c r="AF11" s="22"/>
      <c r="AG11" s="21"/>
      <c r="AH11" s="19"/>
      <c r="AI11" s="19"/>
      <c r="AJ11" s="19"/>
      <c r="AK11" s="19"/>
      <c r="AL11" s="19"/>
      <c r="AM11" s="19"/>
      <c r="AN11" s="19"/>
      <c r="AO11" s="19"/>
      <c r="AP11" s="20"/>
      <c r="AQ11" s="23"/>
    </row>
    <row r="12" spans="1:43" ht="36.75" customHeight="1">
      <c r="A12" s="67" t="str">
        <f t="shared" si="1"/>
        <v>5029907000</v>
      </c>
      <c r="B12" s="69" t="s">
        <v>1679</v>
      </c>
      <c r="C12" s="92" t="s">
        <v>540</v>
      </c>
      <c r="D12" s="85" t="s">
        <v>1677</v>
      </c>
      <c r="E12" s="13" t="s">
        <v>84</v>
      </c>
      <c r="F12" s="70">
        <v>46023</v>
      </c>
      <c r="G12" s="70"/>
      <c r="H12" s="14"/>
      <c r="I12" s="70">
        <v>46357</v>
      </c>
      <c r="J12" s="15" t="s">
        <v>75</v>
      </c>
      <c r="K12" s="102">
        <f t="shared" si="0"/>
        <v>100000</v>
      </c>
      <c r="L12" s="71">
        <v>100000</v>
      </c>
      <c r="M12" s="16"/>
      <c r="N12" s="73" t="s">
        <v>1670</v>
      </c>
      <c r="O12" s="18"/>
      <c r="P12" s="19"/>
      <c r="Q12" s="19"/>
      <c r="R12" s="19"/>
      <c r="S12" s="19"/>
      <c r="T12" s="19"/>
      <c r="U12" s="19"/>
      <c r="V12" s="19"/>
      <c r="W12" s="19"/>
      <c r="X12" s="19"/>
      <c r="Y12" s="19"/>
      <c r="Z12" s="19"/>
      <c r="AA12" s="19"/>
      <c r="AB12" s="19"/>
      <c r="AC12" s="20"/>
      <c r="AD12" s="21"/>
      <c r="AE12" s="21"/>
      <c r="AF12" s="22"/>
      <c r="AG12" s="21"/>
      <c r="AH12" s="19"/>
      <c r="AI12" s="19"/>
      <c r="AJ12" s="19"/>
      <c r="AK12" s="19"/>
      <c r="AL12" s="19"/>
      <c r="AM12" s="19"/>
      <c r="AN12" s="19"/>
      <c r="AO12" s="19"/>
      <c r="AP12" s="20"/>
      <c r="AQ12" s="23"/>
    </row>
    <row r="13" spans="1:43" ht="33.75">
      <c r="A13" s="67" t="str">
        <f t="shared" si="1"/>
        <v>5020399000</v>
      </c>
      <c r="B13" s="69" t="s">
        <v>1680</v>
      </c>
      <c r="C13" s="92" t="s">
        <v>209</v>
      </c>
      <c r="D13" s="85" t="s">
        <v>1677</v>
      </c>
      <c r="E13" s="13" t="s">
        <v>74</v>
      </c>
      <c r="F13" s="70">
        <v>46023</v>
      </c>
      <c r="G13" s="70"/>
      <c r="H13" s="14"/>
      <c r="I13" s="70">
        <v>46357</v>
      </c>
      <c r="J13" s="15" t="s">
        <v>75</v>
      </c>
      <c r="K13" s="102">
        <f t="shared" si="0"/>
        <v>163445.6</v>
      </c>
      <c r="L13" s="71">
        <v>163445.6</v>
      </c>
      <c r="M13" s="16"/>
      <c r="N13" s="73" t="s">
        <v>1670</v>
      </c>
      <c r="O13" s="18"/>
      <c r="P13" s="19"/>
      <c r="Q13" s="19"/>
      <c r="R13" s="19"/>
      <c r="S13" s="19"/>
      <c r="T13" s="19"/>
      <c r="U13" s="19"/>
      <c r="V13" s="19"/>
      <c r="W13" s="19"/>
      <c r="X13" s="19"/>
      <c r="Y13" s="19"/>
      <c r="Z13" s="19"/>
      <c r="AA13" s="19"/>
      <c r="AB13" s="19"/>
      <c r="AC13" s="20"/>
      <c r="AD13" s="21"/>
      <c r="AE13" s="21"/>
      <c r="AF13" s="22"/>
      <c r="AG13" s="21"/>
      <c r="AH13" s="19"/>
      <c r="AI13" s="19"/>
      <c r="AJ13" s="19"/>
      <c r="AK13" s="19"/>
      <c r="AL13" s="19"/>
      <c r="AM13" s="19"/>
      <c r="AN13" s="19"/>
      <c r="AO13" s="19"/>
      <c r="AP13" s="20"/>
      <c r="AQ13" s="23"/>
    </row>
    <row r="14" spans="1:43" ht="33.75">
      <c r="A14" s="67" t="str">
        <f t="shared" si="1"/>
        <v>5020399000</v>
      </c>
      <c r="B14" s="69" t="s">
        <v>1681</v>
      </c>
      <c r="C14" s="92" t="s">
        <v>209</v>
      </c>
      <c r="D14" s="85" t="s">
        <v>1729</v>
      </c>
      <c r="E14" s="13" t="s">
        <v>74</v>
      </c>
      <c r="F14" s="70">
        <v>46023</v>
      </c>
      <c r="G14" s="70"/>
      <c r="H14" s="14"/>
      <c r="I14" s="70">
        <v>46357</v>
      </c>
      <c r="J14" s="15" t="s">
        <v>75</v>
      </c>
      <c r="K14" s="102">
        <f t="shared" si="0"/>
        <v>13400</v>
      </c>
      <c r="L14" s="71">
        <v>13400</v>
      </c>
      <c r="M14" s="16"/>
      <c r="N14" s="73" t="s">
        <v>1670</v>
      </c>
      <c r="O14" s="18"/>
      <c r="P14" s="19"/>
      <c r="Q14" s="19"/>
      <c r="R14" s="19"/>
      <c r="S14" s="19"/>
      <c r="T14" s="19"/>
      <c r="U14" s="19"/>
      <c r="V14" s="19"/>
      <c r="W14" s="19"/>
      <c r="X14" s="19"/>
      <c r="Y14" s="19"/>
      <c r="Z14" s="19"/>
      <c r="AA14" s="19"/>
      <c r="AB14" s="19"/>
      <c r="AC14" s="20"/>
      <c r="AD14" s="21"/>
      <c r="AE14" s="21"/>
      <c r="AF14" s="22"/>
      <c r="AG14" s="21"/>
      <c r="AH14" s="19"/>
      <c r="AI14" s="19"/>
      <c r="AJ14" s="19"/>
      <c r="AK14" s="19"/>
      <c r="AL14" s="19"/>
      <c r="AM14" s="19"/>
      <c r="AN14" s="19"/>
      <c r="AO14" s="19"/>
      <c r="AP14" s="20"/>
      <c r="AQ14" s="23"/>
    </row>
    <row r="15" spans="1:43" ht="33.75">
      <c r="A15" s="67" t="str">
        <f t="shared" si="1"/>
        <v>5020301000</v>
      </c>
      <c r="B15" s="69" t="s">
        <v>1682</v>
      </c>
      <c r="C15" s="92" t="s">
        <v>140</v>
      </c>
      <c r="D15" s="85" t="s">
        <v>1729</v>
      </c>
      <c r="E15" s="13" t="s">
        <v>109</v>
      </c>
      <c r="F15" s="70">
        <v>46023</v>
      </c>
      <c r="G15" s="70"/>
      <c r="H15" s="14"/>
      <c r="I15" s="70">
        <v>46357</v>
      </c>
      <c r="J15" s="15" t="s">
        <v>75</v>
      </c>
      <c r="K15" s="102">
        <f t="shared" si="0"/>
        <v>26294</v>
      </c>
      <c r="L15" s="71">
        <v>26294</v>
      </c>
      <c r="M15" s="16"/>
      <c r="N15" s="73" t="s">
        <v>1670</v>
      </c>
      <c r="O15" s="18"/>
      <c r="P15" s="19"/>
      <c r="Q15" s="19"/>
      <c r="R15" s="19"/>
      <c r="S15" s="19"/>
      <c r="T15" s="19"/>
      <c r="U15" s="19"/>
      <c r="V15" s="19"/>
      <c r="W15" s="19"/>
      <c r="X15" s="19"/>
      <c r="Y15" s="19"/>
      <c r="Z15" s="19"/>
      <c r="AA15" s="19"/>
      <c r="AB15" s="19"/>
      <c r="AC15" s="20"/>
      <c r="AD15" s="21"/>
      <c r="AE15" s="21"/>
      <c r="AF15" s="22"/>
      <c r="AG15" s="21"/>
      <c r="AH15" s="19"/>
      <c r="AI15" s="19"/>
      <c r="AJ15" s="19"/>
      <c r="AK15" s="19"/>
      <c r="AL15" s="19"/>
      <c r="AM15" s="19"/>
      <c r="AN15" s="19"/>
      <c r="AO15" s="19"/>
      <c r="AP15" s="20"/>
      <c r="AQ15" s="23"/>
    </row>
    <row r="16" spans="1:43" ht="33.75">
      <c r="A16" s="67" t="str">
        <f t="shared" si="1"/>
        <v>5029902000</v>
      </c>
      <c r="B16" s="69" t="s">
        <v>1683</v>
      </c>
      <c r="C16" s="92" t="s">
        <v>514</v>
      </c>
      <c r="D16" s="85" t="s">
        <v>1729</v>
      </c>
      <c r="E16" s="13" t="s">
        <v>109</v>
      </c>
      <c r="F16" s="70">
        <v>46023</v>
      </c>
      <c r="G16" s="70"/>
      <c r="H16" s="14"/>
      <c r="I16" s="70">
        <v>46357</v>
      </c>
      <c r="J16" s="15" t="s">
        <v>75</v>
      </c>
      <c r="K16" s="102">
        <f t="shared" si="0"/>
        <v>51500</v>
      </c>
      <c r="L16" s="71">
        <v>51500</v>
      </c>
      <c r="M16" s="16"/>
      <c r="N16" s="73" t="s">
        <v>1670</v>
      </c>
      <c r="O16" s="18"/>
      <c r="P16" s="19"/>
      <c r="Q16" s="19"/>
      <c r="R16" s="19"/>
      <c r="S16" s="19"/>
      <c r="T16" s="19"/>
      <c r="U16" s="19"/>
      <c r="V16" s="19"/>
      <c r="W16" s="19"/>
      <c r="X16" s="19"/>
      <c r="Y16" s="19"/>
      <c r="Z16" s="19"/>
      <c r="AA16" s="19"/>
      <c r="AB16" s="19"/>
      <c r="AC16" s="20"/>
      <c r="AD16" s="21"/>
      <c r="AE16" s="21"/>
      <c r="AF16" s="22"/>
      <c r="AG16" s="21"/>
      <c r="AH16" s="19"/>
      <c r="AI16" s="19"/>
      <c r="AJ16" s="19"/>
      <c r="AK16" s="19"/>
      <c r="AL16" s="19"/>
      <c r="AM16" s="19"/>
      <c r="AN16" s="19"/>
      <c r="AO16" s="19"/>
      <c r="AP16" s="20"/>
      <c r="AQ16" s="23"/>
    </row>
    <row r="17" spans="1:14" ht="45">
      <c r="A17" s="67" t="str">
        <f t="shared" si="1"/>
        <v>5020399000</v>
      </c>
      <c r="B17" s="69" t="s">
        <v>1684</v>
      </c>
      <c r="C17" s="92" t="s">
        <v>209</v>
      </c>
      <c r="D17" s="85" t="s">
        <v>1729</v>
      </c>
      <c r="E17" s="13" t="s">
        <v>109</v>
      </c>
      <c r="F17" s="70">
        <v>46023</v>
      </c>
      <c r="G17" s="70"/>
      <c r="H17" s="14"/>
      <c r="I17" s="70">
        <v>46357</v>
      </c>
      <c r="J17" s="15" t="s">
        <v>75</v>
      </c>
      <c r="K17" s="102">
        <f t="shared" si="0"/>
        <v>149600</v>
      </c>
      <c r="L17" s="71">
        <v>149600</v>
      </c>
      <c r="M17" s="16"/>
      <c r="N17" s="73" t="s">
        <v>1734</v>
      </c>
    </row>
    <row r="18" spans="1:14" ht="45">
      <c r="A18" s="67" t="str">
        <f t="shared" si="1"/>
        <v>5020321002</v>
      </c>
      <c r="B18" s="69" t="s">
        <v>1685</v>
      </c>
      <c r="C18" s="92" t="s">
        <v>177</v>
      </c>
      <c r="D18" s="85" t="s">
        <v>1729</v>
      </c>
      <c r="E18" s="13" t="s">
        <v>109</v>
      </c>
      <c r="F18" s="70">
        <v>46023</v>
      </c>
      <c r="G18" s="70"/>
      <c r="H18" s="14"/>
      <c r="I18" s="70">
        <v>46357</v>
      </c>
      <c r="J18" s="15" t="s">
        <v>75</v>
      </c>
      <c r="K18" s="102">
        <f t="shared" si="0"/>
        <v>15200</v>
      </c>
      <c r="L18" s="71">
        <v>15200</v>
      </c>
      <c r="M18" s="16"/>
      <c r="N18" s="73" t="s">
        <v>1734</v>
      </c>
    </row>
    <row r="19" spans="1:14" ht="33.75">
      <c r="A19" s="67" t="str">
        <f t="shared" si="1"/>
        <v>5020399000</v>
      </c>
      <c r="B19" s="69" t="s">
        <v>1687</v>
      </c>
      <c r="C19" s="92" t="s">
        <v>209</v>
      </c>
      <c r="D19" s="85" t="s">
        <v>1686</v>
      </c>
      <c r="E19" s="13" t="s">
        <v>109</v>
      </c>
      <c r="F19" s="70">
        <v>46023</v>
      </c>
      <c r="G19" s="70"/>
      <c r="H19" s="14"/>
      <c r="I19" s="70">
        <v>46357</v>
      </c>
      <c r="J19" s="15" t="s">
        <v>75</v>
      </c>
      <c r="K19" s="102">
        <f t="shared" si="0"/>
        <v>36800</v>
      </c>
      <c r="L19" s="71">
        <v>36800</v>
      </c>
      <c r="M19" s="16"/>
      <c r="N19" s="73" t="s">
        <v>1670</v>
      </c>
    </row>
    <row r="20" spans="1:14" ht="33.75">
      <c r="A20" s="67" t="str">
        <f t="shared" si="1"/>
        <v>5020399000</v>
      </c>
      <c r="B20" s="69" t="s">
        <v>1688</v>
      </c>
      <c r="C20" s="92" t="s">
        <v>209</v>
      </c>
      <c r="D20" s="85" t="s">
        <v>1686</v>
      </c>
      <c r="E20" s="13" t="s">
        <v>109</v>
      </c>
      <c r="F20" s="70">
        <v>46023</v>
      </c>
      <c r="G20" s="70"/>
      <c r="H20" s="14"/>
      <c r="I20" s="70">
        <v>46357</v>
      </c>
      <c r="J20" s="15" t="s">
        <v>75</v>
      </c>
      <c r="K20" s="102">
        <f t="shared" si="0"/>
        <v>18600</v>
      </c>
      <c r="L20" s="71">
        <v>18600</v>
      </c>
      <c r="M20" s="16"/>
      <c r="N20" s="73" t="s">
        <v>1670</v>
      </c>
    </row>
    <row r="21" spans="1:14" ht="33.75">
      <c r="A21" s="67" t="str">
        <f t="shared" si="1"/>
        <v>5020399000</v>
      </c>
      <c r="B21" s="69" t="s">
        <v>1689</v>
      </c>
      <c r="C21" s="92" t="s">
        <v>209</v>
      </c>
      <c r="D21" s="85" t="s">
        <v>1686</v>
      </c>
      <c r="E21" s="13" t="s">
        <v>74</v>
      </c>
      <c r="F21" s="70">
        <v>46023</v>
      </c>
      <c r="G21" s="70"/>
      <c r="H21" s="14"/>
      <c r="I21" s="70">
        <v>46357</v>
      </c>
      <c r="J21" s="15" t="s">
        <v>75</v>
      </c>
      <c r="K21" s="102">
        <f t="shared" si="0"/>
        <v>38316</v>
      </c>
      <c r="L21" s="71">
        <v>38316</v>
      </c>
      <c r="M21" s="16"/>
      <c r="N21" s="73" t="s">
        <v>1670</v>
      </c>
    </row>
    <row r="22" spans="1:14" ht="33.75">
      <c r="A22" s="67" t="str">
        <f t="shared" si="1"/>
        <v>5020399000</v>
      </c>
      <c r="B22" s="69" t="s">
        <v>1690</v>
      </c>
      <c r="C22" s="92" t="s">
        <v>209</v>
      </c>
      <c r="D22" s="85" t="s">
        <v>1686</v>
      </c>
      <c r="E22" s="13" t="s">
        <v>109</v>
      </c>
      <c r="F22" s="70">
        <v>46023</v>
      </c>
      <c r="G22" s="70"/>
      <c r="H22" s="14"/>
      <c r="I22" s="70">
        <v>46357</v>
      </c>
      <c r="J22" s="15" t="s">
        <v>75</v>
      </c>
      <c r="K22" s="102">
        <f t="shared" si="0"/>
        <v>13752</v>
      </c>
      <c r="L22" s="71">
        <v>13752</v>
      </c>
      <c r="M22" s="16"/>
      <c r="N22" s="73" t="s">
        <v>1670</v>
      </c>
    </row>
    <row r="23" spans="1:14" ht="33.75">
      <c r="A23" s="67" t="str">
        <f t="shared" si="1"/>
        <v>5020399000</v>
      </c>
      <c r="B23" s="69" t="s">
        <v>1691</v>
      </c>
      <c r="C23" s="92" t="s">
        <v>209</v>
      </c>
      <c r="D23" s="85" t="s">
        <v>1686</v>
      </c>
      <c r="E23" s="13" t="s">
        <v>109</v>
      </c>
      <c r="F23" s="70">
        <v>46023</v>
      </c>
      <c r="G23" s="70"/>
      <c r="H23" s="14"/>
      <c r="I23" s="70">
        <v>46357</v>
      </c>
      <c r="J23" s="15" t="s">
        <v>75</v>
      </c>
      <c r="K23" s="102">
        <f t="shared" si="0"/>
        <v>30960</v>
      </c>
      <c r="L23" s="71">
        <v>30960</v>
      </c>
      <c r="M23" s="16"/>
      <c r="N23" s="73" t="s">
        <v>1670</v>
      </c>
    </row>
    <row r="24" spans="1:14" ht="42.75">
      <c r="A24" s="67" t="str">
        <f t="shared" si="1"/>
        <v>5020301000</v>
      </c>
      <c r="B24" s="69" t="s">
        <v>1692</v>
      </c>
      <c r="C24" s="92" t="s">
        <v>140</v>
      </c>
      <c r="D24" s="85" t="s">
        <v>1686</v>
      </c>
      <c r="E24" s="13" t="s">
        <v>109</v>
      </c>
      <c r="F24" s="70">
        <v>46023</v>
      </c>
      <c r="G24" s="70"/>
      <c r="H24" s="14"/>
      <c r="I24" s="70">
        <v>46357</v>
      </c>
      <c r="J24" s="15" t="s">
        <v>75</v>
      </c>
      <c r="K24" s="102">
        <f t="shared" si="0"/>
        <v>61568</v>
      </c>
      <c r="L24" s="71">
        <v>61568</v>
      </c>
      <c r="M24" s="16"/>
      <c r="N24" s="73" t="s">
        <v>1670</v>
      </c>
    </row>
    <row r="25" spans="1:14" ht="33.75">
      <c r="A25" s="67" t="str">
        <f t="shared" si="1"/>
        <v>5020201000</v>
      </c>
      <c r="B25" s="69" t="s">
        <v>1694</v>
      </c>
      <c r="C25" s="92" t="s">
        <v>131</v>
      </c>
      <c r="D25" s="85" t="s">
        <v>1693</v>
      </c>
      <c r="E25" s="13" t="s">
        <v>109</v>
      </c>
      <c r="F25" s="70">
        <v>46023</v>
      </c>
      <c r="G25" s="70"/>
      <c r="H25" s="14"/>
      <c r="I25" s="70">
        <v>46357</v>
      </c>
      <c r="J25" s="15" t="s">
        <v>75</v>
      </c>
      <c r="K25" s="102">
        <f t="shared" si="0"/>
        <v>20000</v>
      </c>
      <c r="L25" s="71">
        <v>20000</v>
      </c>
      <c r="M25" s="16"/>
      <c r="N25" s="73" t="s">
        <v>1670</v>
      </c>
    </row>
    <row r="26" spans="1:14" ht="33.75">
      <c r="A26" s="67" t="str">
        <f t="shared" si="1"/>
        <v>5020399000</v>
      </c>
      <c r="B26" s="69" t="s">
        <v>1695</v>
      </c>
      <c r="C26" s="92" t="s">
        <v>209</v>
      </c>
      <c r="D26" s="85" t="s">
        <v>1693</v>
      </c>
      <c r="E26" s="13" t="s">
        <v>109</v>
      </c>
      <c r="F26" s="70">
        <v>46023</v>
      </c>
      <c r="G26" s="70"/>
      <c r="H26" s="14"/>
      <c r="I26" s="70">
        <v>46357</v>
      </c>
      <c r="J26" s="15" t="s">
        <v>75</v>
      </c>
      <c r="K26" s="102">
        <f t="shared" si="0"/>
        <v>6648</v>
      </c>
      <c r="L26" s="71">
        <v>6648</v>
      </c>
      <c r="M26" s="16"/>
      <c r="N26" s="73" t="s">
        <v>1670</v>
      </c>
    </row>
    <row r="27" spans="1:14" ht="33.75">
      <c r="A27" s="67" t="str">
        <f t="shared" si="1"/>
        <v>5020399000</v>
      </c>
      <c r="B27" s="69" t="s">
        <v>1696</v>
      </c>
      <c r="C27" s="92" t="s">
        <v>209</v>
      </c>
      <c r="D27" s="85" t="s">
        <v>1693</v>
      </c>
      <c r="E27" s="13" t="s">
        <v>109</v>
      </c>
      <c r="F27" s="70">
        <v>46023</v>
      </c>
      <c r="G27" s="70"/>
      <c r="H27" s="14"/>
      <c r="I27" s="70">
        <v>46357</v>
      </c>
      <c r="J27" s="15" t="s">
        <v>75</v>
      </c>
      <c r="K27" s="102">
        <f t="shared" si="0"/>
        <v>501.6</v>
      </c>
      <c r="L27" s="71">
        <v>501.6</v>
      </c>
      <c r="M27" s="16"/>
      <c r="N27" s="73" t="s">
        <v>1670</v>
      </c>
    </row>
    <row r="28" spans="1:14" ht="33.75">
      <c r="A28" s="67" t="str">
        <f t="shared" si="1"/>
        <v>5020321002</v>
      </c>
      <c r="B28" s="69" t="s">
        <v>1698</v>
      </c>
      <c r="C28" s="92" t="s">
        <v>177</v>
      </c>
      <c r="D28" s="85" t="s">
        <v>1697</v>
      </c>
      <c r="E28" s="13" t="s">
        <v>74</v>
      </c>
      <c r="F28" s="70">
        <v>46023</v>
      </c>
      <c r="G28" s="70"/>
      <c r="H28" s="14"/>
      <c r="I28" s="70">
        <v>46357</v>
      </c>
      <c r="J28" s="15" t="s">
        <v>75</v>
      </c>
      <c r="K28" s="102">
        <f t="shared" si="0"/>
        <v>429500</v>
      </c>
      <c r="L28" s="71">
        <v>429500</v>
      </c>
      <c r="M28" s="16"/>
      <c r="N28" s="73" t="s">
        <v>1670</v>
      </c>
    </row>
    <row r="29" spans="1:14" ht="42.75">
      <c r="A29" s="67" t="str">
        <f t="shared" si="1"/>
        <v>5020399000</v>
      </c>
      <c r="B29" s="69" t="s">
        <v>1699</v>
      </c>
      <c r="C29" s="92" t="s">
        <v>209</v>
      </c>
      <c r="D29" s="85" t="s">
        <v>1697</v>
      </c>
      <c r="E29" s="13" t="s">
        <v>74</v>
      </c>
      <c r="F29" s="70">
        <v>46023</v>
      </c>
      <c r="G29" s="70"/>
      <c r="H29" s="14"/>
      <c r="I29" s="70">
        <v>46357</v>
      </c>
      <c r="J29" s="15" t="s">
        <v>75</v>
      </c>
      <c r="K29" s="102">
        <f t="shared" si="0"/>
        <v>145400</v>
      </c>
      <c r="L29" s="71">
        <v>145400</v>
      </c>
      <c r="M29" s="16"/>
      <c r="N29" s="73" t="s">
        <v>1670</v>
      </c>
    </row>
    <row r="30" spans="1:14" ht="28.5">
      <c r="A30" s="67" t="str">
        <f t="shared" si="1"/>
        <v>5029907000</v>
      </c>
      <c r="B30" s="69" t="s">
        <v>1700</v>
      </c>
      <c r="C30" s="92" t="s">
        <v>540</v>
      </c>
      <c r="D30" s="85" t="s">
        <v>1697</v>
      </c>
      <c r="E30" s="13" t="s">
        <v>74</v>
      </c>
      <c r="F30" s="70">
        <v>46023</v>
      </c>
      <c r="G30" s="70"/>
      <c r="H30" s="14"/>
      <c r="I30" s="70">
        <v>46357</v>
      </c>
      <c r="J30" s="15" t="s">
        <v>75</v>
      </c>
      <c r="K30" s="102">
        <f t="shared" si="0"/>
        <v>680000</v>
      </c>
      <c r="L30" s="71">
        <v>680000</v>
      </c>
      <c r="M30" s="16"/>
      <c r="N30" s="73" t="s">
        <v>1735</v>
      </c>
    </row>
    <row r="31" spans="1:14" ht="33.75">
      <c r="A31" s="67" t="str">
        <f t="shared" si="1"/>
        <v>5020399000</v>
      </c>
      <c r="B31" s="69" t="s">
        <v>1702</v>
      </c>
      <c r="C31" s="92" t="s">
        <v>209</v>
      </c>
      <c r="D31" s="85" t="s">
        <v>1730</v>
      </c>
      <c r="E31" s="13" t="s">
        <v>74</v>
      </c>
      <c r="F31" s="70">
        <v>46023</v>
      </c>
      <c r="G31" s="70"/>
      <c r="H31" s="14"/>
      <c r="I31" s="70">
        <v>46357</v>
      </c>
      <c r="J31" s="15" t="s">
        <v>75</v>
      </c>
      <c r="K31" s="102">
        <f t="shared" si="0"/>
        <v>230832</v>
      </c>
      <c r="L31" s="71">
        <v>230832</v>
      </c>
      <c r="M31" s="16"/>
      <c r="N31" s="73" t="s">
        <v>1670</v>
      </c>
    </row>
    <row r="32" spans="1:14" ht="33.75">
      <c r="A32" s="67" t="str">
        <f t="shared" si="1"/>
        <v>5020399000</v>
      </c>
      <c r="B32" s="69" t="s">
        <v>1703</v>
      </c>
      <c r="C32" s="92" t="s">
        <v>209</v>
      </c>
      <c r="D32" s="85" t="s">
        <v>1730</v>
      </c>
      <c r="E32" s="13" t="s">
        <v>74</v>
      </c>
      <c r="F32" s="70">
        <v>46023</v>
      </c>
      <c r="G32" s="70"/>
      <c r="H32" s="14"/>
      <c r="I32" s="70">
        <v>46357</v>
      </c>
      <c r="J32" s="15" t="s">
        <v>75</v>
      </c>
      <c r="K32" s="102">
        <f t="shared" si="0"/>
        <v>263608</v>
      </c>
      <c r="L32" s="71">
        <v>263608</v>
      </c>
      <c r="M32" s="16"/>
      <c r="N32" s="73" t="s">
        <v>1670</v>
      </c>
    </row>
    <row r="33" spans="1:14" ht="33.75">
      <c r="A33" s="67" t="str">
        <f t="shared" si="1"/>
        <v>5020399000</v>
      </c>
      <c r="B33" s="69" t="s">
        <v>1704</v>
      </c>
      <c r="C33" s="92" t="s">
        <v>209</v>
      </c>
      <c r="D33" s="85" t="s">
        <v>1730</v>
      </c>
      <c r="E33" s="13" t="s">
        <v>74</v>
      </c>
      <c r="F33" s="70">
        <v>46023</v>
      </c>
      <c r="G33" s="70"/>
      <c r="H33" s="14"/>
      <c r="I33" s="70">
        <v>46357</v>
      </c>
      <c r="J33" s="15" t="s">
        <v>75</v>
      </c>
      <c r="K33" s="102">
        <f t="shared" si="0"/>
        <v>84000</v>
      </c>
      <c r="L33" s="71">
        <v>84000</v>
      </c>
      <c r="M33" s="16"/>
      <c r="N33" s="73" t="s">
        <v>1670</v>
      </c>
    </row>
    <row r="34" spans="1:14" ht="42.75">
      <c r="A34" s="67" t="str">
        <f t="shared" si="1"/>
        <v>5020301000</v>
      </c>
      <c r="B34" s="69" t="s">
        <v>1705</v>
      </c>
      <c r="C34" s="92" t="s">
        <v>140</v>
      </c>
      <c r="D34" s="85" t="s">
        <v>1730</v>
      </c>
      <c r="E34" s="13" t="s">
        <v>74</v>
      </c>
      <c r="F34" s="70">
        <v>46023</v>
      </c>
      <c r="G34" s="70"/>
      <c r="H34" s="14"/>
      <c r="I34" s="70">
        <v>46357</v>
      </c>
      <c r="J34" s="15" t="s">
        <v>75</v>
      </c>
      <c r="K34" s="102">
        <f t="shared" si="0"/>
        <v>48547.199999999997</v>
      </c>
      <c r="L34" s="71">
        <v>48547.199999999997</v>
      </c>
      <c r="M34" s="16"/>
      <c r="N34" s="73" t="s">
        <v>1670</v>
      </c>
    </row>
    <row r="35" spans="1:14" ht="33.75">
      <c r="A35" s="67" t="str">
        <f t="shared" si="1"/>
        <v>5029907000</v>
      </c>
      <c r="B35" s="69" t="s">
        <v>1706</v>
      </c>
      <c r="C35" s="92" t="s">
        <v>540</v>
      </c>
      <c r="D35" s="85" t="s">
        <v>1730</v>
      </c>
      <c r="E35" s="13" t="s">
        <v>74</v>
      </c>
      <c r="F35" s="70">
        <v>46023</v>
      </c>
      <c r="G35" s="70"/>
      <c r="H35" s="14"/>
      <c r="I35" s="70">
        <v>46357</v>
      </c>
      <c r="J35" s="15" t="s">
        <v>75</v>
      </c>
      <c r="K35" s="102">
        <f t="shared" si="0"/>
        <v>100000</v>
      </c>
      <c r="L35" s="71">
        <v>100000</v>
      </c>
      <c r="M35" s="16"/>
      <c r="N35" s="73" t="s">
        <v>1670</v>
      </c>
    </row>
    <row r="36" spans="1:14" ht="33.75">
      <c r="A36" s="67" t="str">
        <f t="shared" si="1"/>
        <v>5020399000</v>
      </c>
      <c r="B36" s="69" t="s">
        <v>1707</v>
      </c>
      <c r="C36" s="92" t="s">
        <v>209</v>
      </c>
      <c r="D36" s="85" t="s">
        <v>1731</v>
      </c>
      <c r="E36" s="13" t="s">
        <v>74</v>
      </c>
      <c r="F36" s="70">
        <v>46023</v>
      </c>
      <c r="G36" s="70"/>
      <c r="H36" s="14"/>
      <c r="I36" s="70">
        <v>46357</v>
      </c>
      <c r="J36" s="15" t="s">
        <v>75</v>
      </c>
      <c r="K36" s="102">
        <f t="shared" si="0"/>
        <v>397680</v>
      </c>
      <c r="L36" s="71">
        <v>397680</v>
      </c>
      <c r="M36" s="16"/>
      <c r="N36" s="73" t="s">
        <v>1670</v>
      </c>
    </row>
    <row r="37" spans="1:14" ht="33.75">
      <c r="A37" s="67" t="str">
        <f t="shared" si="1"/>
        <v>5020399000</v>
      </c>
      <c r="B37" s="69" t="s">
        <v>1708</v>
      </c>
      <c r="C37" s="92" t="s">
        <v>209</v>
      </c>
      <c r="D37" s="85" t="s">
        <v>1731</v>
      </c>
      <c r="E37" s="13" t="s">
        <v>74</v>
      </c>
      <c r="F37" s="70">
        <v>46023</v>
      </c>
      <c r="G37" s="70"/>
      <c r="H37" s="14"/>
      <c r="I37" s="70">
        <v>46357</v>
      </c>
      <c r="J37" s="15" t="s">
        <v>75</v>
      </c>
      <c r="K37" s="102">
        <f t="shared" si="0"/>
        <v>144837</v>
      </c>
      <c r="L37" s="71">
        <v>144837</v>
      </c>
      <c r="M37" s="16"/>
      <c r="N37" s="73" t="s">
        <v>1670</v>
      </c>
    </row>
    <row r="38" spans="1:14" ht="33.75">
      <c r="A38" s="67" t="str">
        <f t="shared" si="1"/>
        <v>5020308000</v>
      </c>
      <c r="B38" s="69" t="s">
        <v>1709</v>
      </c>
      <c r="C38" s="92" t="s">
        <v>158</v>
      </c>
      <c r="D38" s="85" t="s">
        <v>1731</v>
      </c>
      <c r="E38" s="13" t="s">
        <v>74</v>
      </c>
      <c r="F38" s="70">
        <v>46023</v>
      </c>
      <c r="G38" s="70"/>
      <c r="H38" s="14"/>
      <c r="I38" s="70">
        <v>46357</v>
      </c>
      <c r="J38" s="15" t="s">
        <v>75</v>
      </c>
      <c r="K38" s="102">
        <f t="shared" si="0"/>
        <v>125000</v>
      </c>
      <c r="L38" s="71">
        <v>125000</v>
      </c>
      <c r="M38" s="16"/>
      <c r="N38" s="73" t="s">
        <v>1670</v>
      </c>
    </row>
    <row r="39" spans="1:14" ht="33.75">
      <c r="A39" s="67" t="str">
        <f t="shared" si="1"/>
        <v>5020301000</v>
      </c>
      <c r="B39" s="69" t="s">
        <v>1710</v>
      </c>
      <c r="C39" s="92" t="s">
        <v>140</v>
      </c>
      <c r="D39" s="85" t="s">
        <v>1731</v>
      </c>
      <c r="E39" s="13" t="s">
        <v>74</v>
      </c>
      <c r="F39" s="70">
        <v>46023</v>
      </c>
      <c r="G39" s="70"/>
      <c r="H39" s="14"/>
      <c r="I39" s="70">
        <v>46357</v>
      </c>
      <c r="J39" s="15" t="s">
        <v>75</v>
      </c>
      <c r="K39" s="102">
        <f t="shared" si="0"/>
        <v>1192019.2</v>
      </c>
      <c r="L39" s="71">
        <f>1166519.2+25500</f>
        <v>1192019.2</v>
      </c>
      <c r="M39" s="16"/>
      <c r="N39" s="73" t="s">
        <v>1670</v>
      </c>
    </row>
    <row r="40" spans="1:14" ht="33.75">
      <c r="A40" s="67" t="str">
        <f t="shared" si="1"/>
        <v>5029907000</v>
      </c>
      <c r="B40" s="69" t="s">
        <v>1711</v>
      </c>
      <c r="C40" s="92" t="s">
        <v>540</v>
      </c>
      <c r="D40" s="85" t="s">
        <v>1731</v>
      </c>
      <c r="E40" s="13" t="s">
        <v>74</v>
      </c>
      <c r="F40" s="70">
        <v>46023</v>
      </c>
      <c r="G40" s="70"/>
      <c r="H40" s="14"/>
      <c r="I40" s="70">
        <v>46357</v>
      </c>
      <c r="J40" s="15" t="s">
        <v>75</v>
      </c>
      <c r="K40" s="102">
        <f t="shared" si="0"/>
        <v>680000</v>
      </c>
      <c r="L40" s="71">
        <v>680000</v>
      </c>
      <c r="M40" s="16"/>
      <c r="N40" s="73" t="s">
        <v>1670</v>
      </c>
    </row>
    <row r="41" spans="1:14" ht="42.75">
      <c r="A41" s="67" t="str">
        <f t="shared" si="1"/>
        <v>5020399000</v>
      </c>
      <c r="B41" s="69" t="s">
        <v>1712</v>
      </c>
      <c r="C41" s="92" t="s">
        <v>209</v>
      </c>
      <c r="D41" s="85" t="s">
        <v>1731</v>
      </c>
      <c r="E41" s="13" t="s">
        <v>74</v>
      </c>
      <c r="F41" s="70">
        <v>46023</v>
      </c>
      <c r="G41" s="70"/>
      <c r="H41" s="14"/>
      <c r="I41" s="70">
        <v>46357</v>
      </c>
      <c r="J41" s="15" t="s">
        <v>75</v>
      </c>
      <c r="K41" s="102">
        <f t="shared" si="0"/>
        <v>5000000</v>
      </c>
      <c r="L41" s="71">
        <v>5000000</v>
      </c>
      <c r="M41" s="16"/>
      <c r="N41" s="73" t="s">
        <v>1670</v>
      </c>
    </row>
    <row r="42" spans="1:14" ht="33.75">
      <c r="A42" s="67" t="str">
        <f t="shared" si="1"/>
        <v>5020399000</v>
      </c>
      <c r="B42" s="69" t="s">
        <v>1714</v>
      </c>
      <c r="C42" s="92" t="s">
        <v>209</v>
      </c>
      <c r="D42" s="85" t="s">
        <v>1713</v>
      </c>
      <c r="E42" s="13" t="s">
        <v>74</v>
      </c>
      <c r="F42" s="70">
        <v>46023</v>
      </c>
      <c r="G42" s="70"/>
      <c r="H42" s="14"/>
      <c r="I42" s="70">
        <v>46357</v>
      </c>
      <c r="J42" s="15" t="s">
        <v>75</v>
      </c>
      <c r="K42" s="102">
        <f t="shared" si="0"/>
        <v>83052</v>
      </c>
      <c r="L42" s="71">
        <v>83052</v>
      </c>
      <c r="M42" s="16"/>
      <c r="N42" s="73" t="s">
        <v>1670</v>
      </c>
    </row>
    <row r="43" spans="1:14" ht="33.75">
      <c r="A43" s="67" t="str">
        <f t="shared" si="1"/>
        <v>5020399000</v>
      </c>
      <c r="B43" s="69" t="s">
        <v>1715</v>
      </c>
      <c r="C43" s="92" t="s">
        <v>209</v>
      </c>
      <c r="D43" s="85" t="s">
        <v>1713</v>
      </c>
      <c r="E43" s="13" t="s">
        <v>74</v>
      </c>
      <c r="F43" s="70">
        <v>46023</v>
      </c>
      <c r="G43" s="70"/>
      <c r="H43" s="14"/>
      <c r="I43" s="70">
        <v>46357</v>
      </c>
      <c r="J43" s="15" t="s">
        <v>75</v>
      </c>
      <c r="K43" s="102">
        <f t="shared" si="0"/>
        <v>28080</v>
      </c>
      <c r="L43" s="71">
        <v>28080</v>
      </c>
      <c r="M43" s="16"/>
      <c r="N43" s="73" t="s">
        <v>1670</v>
      </c>
    </row>
    <row r="44" spans="1:14" ht="33.75">
      <c r="A44" s="67" t="str">
        <f t="shared" si="1"/>
        <v>5020301000</v>
      </c>
      <c r="B44" s="69" t="s">
        <v>1716</v>
      </c>
      <c r="C44" s="92" t="s">
        <v>140</v>
      </c>
      <c r="D44" s="85" t="s">
        <v>1713</v>
      </c>
      <c r="E44" s="13" t="s">
        <v>74</v>
      </c>
      <c r="F44" s="70">
        <v>46023</v>
      </c>
      <c r="G44" s="70"/>
      <c r="H44" s="14"/>
      <c r="I44" s="70">
        <v>46357</v>
      </c>
      <c r="J44" s="15" t="s">
        <v>75</v>
      </c>
      <c r="K44" s="102">
        <f t="shared" si="0"/>
        <v>8520</v>
      </c>
      <c r="L44" s="71">
        <v>8520</v>
      </c>
      <c r="M44" s="16"/>
      <c r="N44" s="73" t="s">
        <v>1670</v>
      </c>
    </row>
    <row r="45" spans="1:14" ht="33.75">
      <c r="A45" s="67" t="str">
        <f t="shared" si="1"/>
        <v>5020399000</v>
      </c>
      <c r="B45" s="69" t="s">
        <v>1717</v>
      </c>
      <c r="C45" s="92" t="s">
        <v>209</v>
      </c>
      <c r="D45" s="85" t="s">
        <v>1713</v>
      </c>
      <c r="E45" s="13" t="s">
        <v>74</v>
      </c>
      <c r="F45" s="70">
        <v>46023</v>
      </c>
      <c r="G45" s="70"/>
      <c r="H45" s="14"/>
      <c r="I45" s="70">
        <v>46357</v>
      </c>
      <c r="J45" s="15" t="s">
        <v>75</v>
      </c>
      <c r="K45" s="102">
        <f t="shared" si="0"/>
        <v>60576</v>
      </c>
      <c r="L45" s="71">
        <v>60576</v>
      </c>
      <c r="M45" s="16"/>
      <c r="N45" s="73" t="s">
        <v>1670</v>
      </c>
    </row>
    <row r="46" spans="1:14" ht="42.75">
      <c r="A46" s="67" t="str">
        <f t="shared" si="1"/>
        <v>5020201000</v>
      </c>
      <c r="B46" s="69" t="s">
        <v>1719</v>
      </c>
      <c r="C46" s="92" t="s">
        <v>131</v>
      </c>
      <c r="D46" s="85" t="s">
        <v>1718</v>
      </c>
      <c r="E46" s="13" t="s">
        <v>109</v>
      </c>
      <c r="F46" s="70">
        <v>46023</v>
      </c>
      <c r="G46" s="70"/>
      <c r="H46" s="14"/>
      <c r="I46" s="70">
        <v>46357</v>
      </c>
      <c r="J46" s="15" t="s">
        <v>75</v>
      </c>
      <c r="K46" s="102">
        <f t="shared" si="0"/>
        <v>42250</v>
      </c>
      <c r="L46" s="71">
        <v>42250</v>
      </c>
      <c r="M46" s="16"/>
      <c r="N46" s="73" t="s">
        <v>1670</v>
      </c>
    </row>
    <row r="47" spans="1:14" ht="42.75">
      <c r="A47" s="67" t="str">
        <f t="shared" si="1"/>
        <v>5020399000</v>
      </c>
      <c r="B47" s="69" t="s">
        <v>1720</v>
      </c>
      <c r="C47" s="92" t="s">
        <v>209</v>
      </c>
      <c r="D47" s="85" t="s">
        <v>1718</v>
      </c>
      <c r="E47" s="13" t="s">
        <v>109</v>
      </c>
      <c r="F47" s="70">
        <v>46023</v>
      </c>
      <c r="G47" s="70"/>
      <c r="H47" s="14"/>
      <c r="I47" s="70">
        <v>46357</v>
      </c>
      <c r="J47" s="15" t="s">
        <v>75</v>
      </c>
      <c r="K47" s="102">
        <f t="shared" si="0"/>
        <v>350000</v>
      </c>
      <c r="L47" s="71">
        <v>350000</v>
      </c>
      <c r="M47" s="16"/>
      <c r="N47" s="73" t="s">
        <v>1670</v>
      </c>
    </row>
    <row r="48" spans="1:14" ht="33.75">
      <c r="A48" s="67" t="str">
        <f t="shared" si="1"/>
        <v>5020301000</v>
      </c>
      <c r="B48" s="69" t="s">
        <v>1722</v>
      </c>
      <c r="C48" s="92" t="s">
        <v>140</v>
      </c>
      <c r="D48" s="85" t="s">
        <v>1721</v>
      </c>
      <c r="E48" s="13" t="s">
        <v>109</v>
      </c>
      <c r="F48" s="70">
        <v>46023</v>
      </c>
      <c r="G48" s="70"/>
      <c r="H48" s="14"/>
      <c r="I48" s="70">
        <v>46357</v>
      </c>
      <c r="J48" s="15" t="s">
        <v>75</v>
      </c>
      <c r="K48" s="102">
        <f t="shared" si="0"/>
        <v>77689.2</v>
      </c>
      <c r="L48" s="71">
        <v>77689.2</v>
      </c>
      <c r="M48" s="16"/>
      <c r="N48" s="73" t="s">
        <v>1670</v>
      </c>
    </row>
    <row r="49" spans="1:14" ht="33.75">
      <c r="A49" s="67" t="str">
        <f t="shared" si="1"/>
        <v>5020399000</v>
      </c>
      <c r="B49" s="69" t="s">
        <v>1724</v>
      </c>
      <c r="C49" s="92" t="s">
        <v>209</v>
      </c>
      <c r="D49" s="85" t="s">
        <v>1723</v>
      </c>
      <c r="E49" s="13" t="s">
        <v>74</v>
      </c>
      <c r="F49" s="70">
        <v>46023</v>
      </c>
      <c r="G49" s="70"/>
      <c r="H49" s="14"/>
      <c r="I49" s="70">
        <v>46357</v>
      </c>
      <c r="J49" s="15" t="s">
        <v>75</v>
      </c>
      <c r="K49" s="102">
        <f t="shared" si="0"/>
        <v>328800</v>
      </c>
      <c r="L49" s="71">
        <v>328800</v>
      </c>
      <c r="M49" s="16"/>
      <c r="N49" s="73" t="s">
        <v>1670</v>
      </c>
    </row>
    <row r="50" spans="1:14" ht="33.75">
      <c r="A50" s="67" t="str">
        <f t="shared" si="1"/>
        <v>5020399000</v>
      </c>
      <c r="B50" s="69" t="s">
        <v>1725</v>
      </c>
      <c r="C50" s="92" t="s">
        <v>209</v>
      </c>
      <c r="D50" s="85" t="s">
        <v>1723</v>
      </c>
      <c r="E50" s="13" t="s">
        <v>74</v>
      </c>
      <c r="F50" s="70">
        <v>46023</v>
      </c>
      <c r="G50" s="70"/>
      <c r="H50" s="14"/>
      <c r="I50" s="70">
        <v>46357</v>
      </c>
      <c r="J50" s="15" t="s">
        <v>75</v>
      </c>
      <c r="K50" s="102">
        <f t="shared" si="0"/>
        <v>254400</v>
      </c>
      <c r="L50" s="71">
        <v>254400</v>
      </c>
      <c r="M50" s="16"/>
      <c r="N50" s="73" t="s">
        <v>1670</v>
      </c>
    </row>
    <row r="51" spans="1:14" ht="33.75">
      <c r="A51" s="67" t="str">
        <f t="shared" si="1"/>
        <v>5020301000</v>
      </c>
      <c r="B51" s="69" t="s">
        <v>1726</v>
      </c>
      <c r="C51" s="92" t="s">
        <v>140</v>
      </c>
      <c r="D51" s="85" t="s">
        <v>1723</v>
      </c>
      <c r="E51" s="13" t="s">
        <v>74</v>
      </c>
      <c r="F51" s="70">
        <v>46023</v>
      </c>
      <c r="G51" s="70"/>
      <c r="H51" s="14"/>
      <c r="I51" s="70">
        <v>46357</v>
      </c>
      <c r="J51" s="15" t="s">
        <v>75</v>
      </c>
      <c r="K51" s="102">
        <f t="shared" si="0"/>
        <v>17784</v>
      </c>
      <c r="L51" s="71">
        <v>17784</v>
      </c>
      <c r="M51" s="16"/>
      <c r="N51" s="73" t="s">
        <v>1670</v>
      </c>
    </row>
    <row r="52" spans="1:14" ht="33.75">
      <c r="A52" s="67" t="str">
        <f t="shared" si="1"/>
        <v>5020399000</v>
      </c>
      <c r="B52" s="69" t="s">
        <v>1727</v>
      </c>
      <c r="C52" s="92" t="s">
        <v>209</v>
      </c>
      <c r="D52" s="85" t="s">
        <v>1732</v>
      </c>
      <c r="E52" s="13" t="s">
        <v>74</v>
      </c>
      <c r="F52" s="70">
        <v>46023</v>
      </c>
      <c r="G52" s="70"/>
      <c r="H52" s="14"/>
      <c r="I52" s="70">
        <v>46357</v>
      </c>
      <c r="J52" s="15" t="s">
        <v>75</v>
      </c>
      <c r="K52" s="102">
        <f t="shared" si="0"/>
        <v>3000000</v>
      </c>
      <c r="L52" s="71">
        <v>3000000</v>
      </c>
      <c r="M52" s="16"/>
      <c r="N52" s="73" t="s">
        <v>1670</v>
      </c>
    </row>
    <row r="53" spans="1:14" ht="33.75">
      <c r="A53" s="67" t="str">
        <f t="shared" si="1"/>
        <v>5020399000</v>
      </c>
      <c r="B53" s="69" t="s">
        <v>1728</v>
      </c>
      <c r="C53" s="92" t="s">
        <v>209</v>
      </c>
      <c r="D53" s="85" t="s">
        <v>1732</v>
      </c>
      <c r="E53" s="13" t="s">
        <v>74</v>
      </c>
      <c r="F53" s="70">
        <v>46023</v>
      </c>
      <c r="G53" s="70"/>
      <c r="H53" s="14"/>
      <c r="I53" s="70">
        <v>46357</v>
      </c>
      <c r="J53" s="15" t="s">
        <v>75</v>
      </c>
      <c r="K53" s="102">
        <f t="shared" si="0"/>
        <v>1090000</v>
      </c>
      <c r="L53" s="71">
        <v>1090000</v>
      </c>
      <c r="M53" s="16"/>
      <c r="N53" s="73" t="s">
        <v>1670</v>
      </c>
    </row>
    <row r="54" spans="1:14" ht="15" customHeight="1">
      <c r="A54" s="67">
        <f t="shared" si="1"/>
        <v>5029902000</v>
      </c>
      <c r="B54" s="79" t="s">
        <v>1736</v>
      </c>
      <c r="C54" s="92">
        <v>5029902000</v>
      </c>
      <c r="D54" s="86" t="s">
        <v>1701</v>
      </c>
      <c r="E54" s="13" t="s">
        <v>78</v>
      </c>
      <c r="F54" s="70">
        <v>46023</v>
      </c>
      <c r="G54" s="70"/>
      <c r="H54" s="14"/>
      <c r="I54" s="70">
        <v>46357</v>
      </c>
      <c r="J54" s="15" t="s">
        <v>75</v>
      </c>
      <c r="K54" s="103">
        <v>30000</v>
      </c>
      <c r="L54" s="103">
        <v>30000</v>
      </c>
      <c r="M54" s="16"/>
      <c r="N54" s="74" t="s">
        <v>1745</v>
      </c>
    </row>
    <row r="55" spans="1:14" ht="15" customHeight="1">
      <c r="A55" s="67" t="str">
        <f t="shared" si="1"/>
        <v>5029903000</v>
      </c>
      <c r="B55" s="79" t="s">
        <v>1737</v>
      </c>
      <c r="C55" s="92" t="s">
        <v>516</v>
      </c>
      <c r="D55" s="86" t="s">
        <v>1701</v>
      </c>
      <c r="E55" s="13" t="s">
        <v>78</v>
      </c>
      <c r="F55" s="70">
        <v>46023</v>
      </c>
      <c r="G55" s="70"/>
      <c r="H55" s="14"/>
      <c r="I55" s="70">
        <v>46357</v>
      </c>
      <c r="J55" s="15" t="s">
        <v>75</v>
      </c>
      <c r="K55" s="103">
        <v>100000</v>
      </c>
      <c r="L55" s="103">
        <v>100000</v>
      </c>
      <c r="M55" s="16"/>
      <c r="N55" s="75" t="s">
        <v>1745</v>
      </c>
    </row>
    <row r="56" spans="1:14" ht="15" customHeight="1">
      <c r="A56" s="67" t="str">
        <f t="shared" si="1"/>
        <v>5020399000</v>
      </c>
      <c r="B56" s="79" t="s">
        <v>1738</v>
      </c>
      <c r="C56" s="92" t="s">
        <v>209</v>
      </c>
      <c r="D56" s="86" t="s">
        <v>1701</v>
      </c>
      <c r="E56" s="13" t="s">
        <v>78</v>
      </c>
      <c r="F56" s="70">
        <v>46023</v>
      </c>
      <c r="G56" s="70"/>
      <c r="H56" s="14"/>
      <c r="I56" s="70">
        <v>46357</v>
      </c>
      <c r="J56" s="15" t="s">
        <v>75</v>
      </c>
      <c r="K56" s="103">
        <v>50000</v>
      </c>
      <c r="L56" s="103">
        <v>50000</v>
      </c>
      <c r="M56" s="16"/>
      <c r="N56" s="75" t="s">
        <v>1745</v>
      </c>
    </row>
    <row r="57" spans="1:14" ht="15" customHeight="1">
      <c r="A57" s="67">
        <f t="shared" si="1"/>
        <v>5029902000</v>
      </c>
      <c r="B57" s="79" t="s">
        <v>1739</v>
      </c>
      <c r="C57" s="92">
        <v>5029902000</v>
      </c>
      <c r="D57" s="86" t="s">
        <v>1718</v>
      </c>
      <c r="E57" s="13" t="s">
        <v>78</v>
      </c>
      <c r="F57" s="70">
        <v>46023</v>
      </c>
      <c r="G57" s="70"/>
      <c r="H57" s="14"/>
      <c r="I57" s="70">
        <v>46357</v>
      </c>
      <c r="J57" s="15" t="s">
        <v>75</v>
      </c>
      <c r="K57" s="103">
        <v>10000</v>
      </c>
      <c r="L57" s="103">
        <v>10000</v>
      </c>
      <c r="M57" s="16"/>
      <c r="N57" s="75" t="s">
        <v>1745</v>
      </c>
    </row>
    <row r="58" spans="1:14" ht="15" customHeight="1">
      <c r="A58" s="67" t="str">
        <f t="shared" si="1"/>
        <v>5020399000</v>
      </c>
      <c r="B58" s="79" t="s">
        <v>1740</v>
      </c>
      <c r="C58" s="92" t="s">
        <v>209</v>
      </c>
      <c r="D58" s="86" t="s">
        <v>1718</v>
      </c>
      <c r="E58" s="13" t="s">
        <v>78</v>
      </c>
      <c r="F58" s="70">
        <v>46023</v>
      </c>
      <c r="G58" s="70"/>
      <c r="H58" s="14"/>
      <c r="I58" s="70">
        <v>46357</v>
      </c>
      <c r="J58" s="15" t="s">
        <v>75</v>
      </c>
      <c r="K58" s="103">
        <v>40000</v>
      </c>
      <c r="L58" s="103">
        <v>40000</v>
      </c>
      <c r="M58" s="16"/>
      <c r="N58" s="75" t="s">
        <v>1745</v>
      </c>
    </row>
    <row r="59" spans="1:14" ht="15" customHeight="1">
      <c r="A59" s="67" t="str">
        <f t="shared" si="1"/>
        <v>5029903000</v>
      </c>
      <c r="B59" s="79" t="s">
        <v>1742</v>
      </c>
      <c r="C59" s="92" t="s">
        <v>516</v>
      </c>
      <c r="D59" s="86" t="s">
        <v>1741</v>
      </c>
      <c r="E59" s="13" t="s">
        <v>78</v>
      </c>
      <c r="F59" s="70">
        <v>46023</v>
      </c>
      <c r="G59" s="70"/>
      <c r="H59" s="14"/>
      <c r="I59" s="70">
        <v>46357</v>
      </c>
      <c r="J59" s="15" t="s">
        <v>75</v>
      </c>
      <c r="K59" s="103">
        <v>32500</v>
      </c>
      <c r="L59" s="103">
        <v>32500</v>
      </c>
      <c r="M59" s="16"/>
      <c r="N59" s="75" t="s">
        <v>1745</v>
      </c>
    </row>
    <row r="60" spans="1:14" ht="28.5">
      <c r="A60" s="67" t="str">
        <f t="shared" si="1"/>
        <v>5029902000</v>
      </c>
      <c r="B60" s="79" t="s">
        <v>1743</v>
      </c>
      <c r="C60" s="92" t="s">
        <v>514</v>
      </c>
      <c r="D60" s="86" t="s">
        <v>1741</v>
      </c>
      <c r="E60" s="13" t="s">
        <v>78</v>
      </c>
      <c r="F60" s="70">
        <v>46023</v>
      </c>
      <c r="G60" s="70"/>
      <c r="H60" s="14"/>
      <c r="I60" s="70">
        <v>46357</v>
      </c>
      <c r="J60" s="15" t="s">
        <v>75</v>
      </c>
      <c r="K60" s="103">
        <v>2600</v>
      </c>
      <c r="L60" s="103">
        <v>2600</v>
      </c>
      <c r="M60" s="16"/>
      <c r="N60" s="75" t="s">
        <v>1746</v>
      </c>
    </row>
    <row r="61" spans="1:14" ht="28.5">
      <c r="A61" s="67" t="str">
        <f t="shared" si="1"/>
        <v>5020399000</v>
      </c>
      <c r="B61" s="79" t="s">
        <v>1744</v>
      </c>
      <c r="C61" s="92" t="s">
        <v>209</v>
      </c>
      <c r="D61" s="86" t="s">
        <v>1741</v>
      </c>
      <c r="E61" s="13" t="s">
        <v>78</v>
      </c>
      <c r="F61" s="70">
        <v>46023</v>
      </c>
      <c r="G61" s="70"/>
      <c r="H61" s="14"/>
      <c r="I61" s="70">
        <v>46357</v>
      </c>
      <c r="J61" s="15" t="s">
        <v>75</v>
      </c>
      <c r="K61" s="103">
        <v>10000</v>
      </c>
      <c r="L61" s="103">
        <v>10000</v>
      </c>
      <c r="M61" s="16"/>
      <c r="N61" s="75" t="s">
        <v>1747</v>
      </c>
    </row>
    <row r="62" spans="1:14" ht="28.5">
      <c r="A62" s="67">
        <f t="shared" si="1"/>
        <v>5029902000</v>
      </c>
      <c r="B62" s="69" t="s">
        <v>1748</v>
      </c>
      <c r="C62" s="92">
        <v>5029902000</v>
      </c>
      <c r="D62" s="84" t="s">
        <v>1761</v>
      </c>
      <c r="E62" s="13" t="s">
        <v>109</v>
      </c>
      <c r="F62" s="70">
        <v>46023</v>
      </c>
      <c r="G62" s="70"/>
      <c r="H62" s="14"/>
      <c r="I62" s="70">
        <v>46357</v>
      </c>
      <c r="J62" s="15" t="s">
        <v>75</v>
      </c>
      <c r="K62" s="76">
        <v>2000</v>
      </c>
      <c r="L62" s="76">
        <v>2000</v>
      </c>
      <c r="M62" s="16"/>
      <c r="N62" s="17"/>
    </row>
    <row r="63" spans="1:14" ht="28.5">
      <c r="A63" s="67" t="str">
        <f t="shared" si="1"/>
        <v>5020399000</v>
      </c>
      <c r="B63" s="69" t="s">
        <v>1749</v>
      </c>
      <c r="C63" s="92" t="s">
        <v>209</v>
      </c>
      <c r="D63" s="84" t="s">
        <v>1761</v>
      </c>
      <c r="E63" s="13" t="s">
        <v>74</v>
      </c>
      <c r="F63" s="70">
        <v>46023</v>
      </c>
      <c r="G63" s="70"/>
      <c r="H63" s="14"/>
      <c r="I63" s="70">
        <v>46357</v>
      </c>
      <c r="J63" s="15" t="s">
        <v>75</v>
      </c>
      <c r="K63" s="77">
        <f>SUM('[1]PPMP Template'!$F$52+'[1]PPMP Template'!$F$122)</f>
        <v>65952</v>
      </c>
      <c r="L63" s="77">
        <f>SUM('[1]PPMP Template'!$F$52+'[1]PPMP Template'!$F$122)</f>
        <v>65952</v>
      </c>
      <c r="M63" s="16"/>
      <c r="N63" s="17"/>
    </row>
    <row r="64" spans="1:14" ht="28.5">
      <c r="A64" s="67" t="str">
        <f t="shared" si="1"/>
        <v>5029902000</v>
      </c>
      <c r="B64" s="69" t="s">
        <v>1750</v>
      </c>
      <c r="C64" s="92" t="s">
        <v>514</v>
      </c>
      <c r="D64" s="84" t="s">
        <v>1761</v>
      </c>
      <c r="E64" s="13" t="s">
        <v>84</v>
      </c>
      <c r="F64" s="70">
        <v>46023</v>
      </c>
      <c r="G64" s="70"/>
      <c r="H64" s="14"/>
      <c r="I64" s="70">
        <v>46357</v>
      </c>
      <c r="J64" s="15" t="s">
        <v>75</v>
      </c>
      <c r="K64" s="77">
        <f>SUM('[1]PPMP Template'!$F$99)</f>
        <v>18000</v>
      </c>
      <c r="L64" s="77">
        <f>SUM('[1]PPMP Template'!$F$99)</f>
        <v>18000</v>
      </c>
      <c r="M64" s="16"/>
      <c r="N64" s="17"/>
    </row>
    <row r="65" spans="1:14" ht="28.5">
      <c r="A65" s="67" t="str">
        <f t="shared" si="1"/>
        <v>5020399000</v>
      </c>
      <c r="B65" s="69" t="s">
        <v>1751</v>
      </c>
      <c r="C65" s="92" t="s">
        <v>209</v>
      </c>
      <c r="D65" s="84" t="s">
        <v>1761</v>
      </c>
      <c r="E65" s="13" t="s">
        <v>74</v>
      </c>
      <c r="F65" s="70">
        <v>46023</v>
      </c>
      <c r="G65" s="70"/>
      <c r="H65" s="14"/>
      <c r="I65" s="70">
        <v>46357</v>
      </c>
      <c r="J65" s="15" t="s">
        <v>75</v>
      </c>
      <c r="K65" s="77">
        <f>SUM('[1]PPMP Template'!$F$15+'[1]PPMP Template'!$F$16+'[1]PPMP Template'!$F$53+'[1]PPMP Template'!$F$54+'[1]PPMP Template'!$F$55+'[1]PPMP Template'!$F$56+'[1]PPMP Template'!$F$93)</f>
        <v>92212</v>
      </c>
      <c r="L65" s="77">
        <f>SUM('[1]PPMP Template'!$F$15+'[1]PPMP Template'!$F$16+'[1]PPMP Template'!$F$53+'[1]PPMP Template'!$F$54+'[1]PPMP Template'!$F$55+'[1]PPMP Template'!$F$56+'[1]PPMP Template'!$F$93)</f>
        <v>92212</v>
      </c>
      <c r="M65" s="16"/>
      <c r="N65" s="17"/>
    </row>
    <row r="66" spans="1:14" ht="28.5">
      <c r="A66" s="67" t="str">
        <f t="shared" si="1"/>
        <v>5020399000</v>
      </c>
      <c r="B66" s="69" t="s">
        <v>1752</v>
      </c>
      <c r="C66" s="92" t="s">
        <v>209</v>
      </c>
      <c r="D66" s="84" t="s">
        <v>1761</v>
      </c>
      <c r="E66" s="13" t="s">
        <v>74</v>
      </c>
      <c r="F66" s="70">
        <v>46023</v>
      </c>
      <c r="G66" s="70"/>
      <c r="H66" s="14"/>
      <c r="I66" s="70">
        <v>46357</v>
      </c>
      <c r="J66" s="15" t="s">
        <v>75</v>
      </c>
      <c r="K66" s="77">
        <v>52000</v>
      </c>
      <c r="L66" s="77">
        <v>52000</v>
      </c>
      <c r="M66" s="16"/>
      <c r="N66" s="17"/>
    </row>
    <row r="67" spans="1:14" ht="28.5">
      <c r="A67" s="67" t="str">
        <f t="shared" si="1"/>
        <v>5020399000</v>
      </c>
      <c r="B67" s="69" t="s">
        <v>1753</v>
      </c>
      <c r="C67" s="92" t="s">
        <v>209</v>
      </c>
      <c r="D67" s="84" t="s">
        <v>1761</v>
      </c>
      <c r="E67" s="13" t="s">
        <v>74</v>
      </c>
      <c r="F67" s="70">
        <v>46023</v>
      </c>
      <c r="G67" s="70"/>
      <c r="H67" s="14"/>
      <c r="I67" s="70">
        <v>46357</v>
      </c>
      <c r="J67" s="15" t="s">
        <v>75</v>
      </c>
      <c r="K67" s="77">
        <v>11988</v>
      </c>
      <c r="L67" s="77">
        <v>11988</v>
      </c>
      <c r="M67" s="16"/>
      <c r="N67" s="17"/>
    </row>
    <row r="68" spans="1:14" ht="28.5">
      <c r="A68" s="67" t="str">
        <f t="shared" si="1"/>
        <v>5020399000</v>
      </c>
      <c r="B68" s="69" t="s">
        <v>1754</v>
      </c>
      <c r="C68" s="92" t="s">
        <v>209</v>
      </c>
      <c r="D68" s="84" t="s">
        <v>1761</v>
      </c>
      <c r="E68" s="13" t="s">
        <v>109</v>
      </c>
      <c r="F68" s="70">
        <v>46023</v>
      </c>
      <c r="G68" s="70"/>
      <c r="H68" s="14"/>
      <c r="I68" s="70">
        <v>46357</v>
      </c>
      <c r="J68" s="15" t="s">
        <v>75</v>
      </c>
      <c r="K68" s="77">
        <f>SUM('[1]PPMP Template'!$F$58+'[1]PPMP Template'!$F$59+'[1]PPMP Template'!$F$60)</f>
        <v>19008</v>
      </c>
      <c r="L68" s="77">
        <f>SUM('[1]PPMP Template'!$F$58+'[1]PPMP Template'!$F$59+'[1]PPMP Template'!$F$60)</f>
        <v>19008</v>
      </c>
      <c r="M68" s="16"/>
      <c r="N68" s="17"/>
    </row>
    <row r="69" spans="1:14" ht="42.75">
      <c r="A69" s="67" t="str">
        <f t="shared" si="1"/>
        <v>5020399000</v>
      </c>
      <c r="B69" s="69" t="s">
        <v>1755</v>
      </c>
      <c r="C69" s="92" t="s">
        <v>209</v>
      </c>
      <c r="D69" s="84" t="s">
        <v>1761</v>
      </c>
      <c r="E69" s="13" t="s">
        <v>109</v>
      </c>
      <c r="F69" s="70">
        <v>46023</v>
      </c>
      <c r="G69" s="70"/>
      <c r="H69" s="14"/>
      <c r="I69" s="70">
        <v>46357</v>
      </c>
      <c r="J69" s="15" t="s">
        <v>75</v>
      </c>
      <c r="K69" s="77">
        <v>14513.4</v>
      </c>
      <c r="L69" s="77">
        <v>14513.4</v>
      </c>
      <c r="M69" s="16"/>
      <c r="N69" s="17"/>
    </row>
    <row r="70" spans="1:14" ht="28.5">
      <c r="A70" s="67" t="str">
        <f t="shared" si="1"/>
        <v>5029905001</v>
      </c>
      <c r="B70" s="69" t="s">
        <v>1756</v>
      </c>
      <c r="C70" s="92" t="s">
        <v>522</v>
      </c>
      <c r="D70" s="84" t="s">
        <v>1761</v>
      </c>
      <c r="E70" s="13" t="s">
        <v>98</v>
      </c>
      <c r="F70" s="70">
        <v>46023</v>
      </c>
      <c r="G70" s="70"/>
      <c r="H70" s="14"/>
      <c r="I70" s="70">
        <v>46357</v>
      </c>
      <c r="J70" s="15" t="s">
        <v>75</v>
      </c>
      <c r="K70" s="77">
        <v>2160000</v>
      </c>
      <c r="L70" s="77">
        <v>2160000</v>
      </c>
      <c r="M70" s="16"/>
      <c r="N70" s="17"/>
    </row>
    <row r="71" spans="1:14" ht="42.75">
      <c r="A71" s="67" t="str">
        <f t="shared" ref="A71:A134" si="2">C71</f>
        <v>5020308000</v>
      </c>
      <c r="B71" s="69" t="s">
        <v>1757</v>
      </c>
      <c r="C71" s="92" t="s">
        <v>158</v>
      </c>
      <c r="D71" s="84" t="s">
        <v>1761</v>
      </c>
      <c r="E71" s="13" t="s">
        <v>109</v>
      </c>
      <c r="F71" s="70">
        <v>46023</v>
      </c>
      <c r="G71" s="70"/>
      <c r="H71" s="14"/>
      <c r="I71" s="70">
        <v>46357</v>
      </c>
      <c r="J71" s="15" t="s">
        <v>75</v>
      </c>
      <c r="K71" s="77">
        <v>127914</v>
      </c>
      <c r="L71" s="77">
        <v>127914</v>
      </c>
      <c r="M71" s="16"/>
      <c r="N71" s="17"/>
    </row>
    <row r="72" spans="1:14" ht="28.5">
      <c r="A72" s="67" t="str">
        <f t="shared" si="2"/>
        <v>5020399000</v>
      </c>
      <c r="B72" s="69" t="s">
        <v>1758</v>
      </c>
      <c r="C72" s="92" t="s">
        <v>209</v>
      </c>
      <c r="D72" s="84" t="s">
        <v>1761</v>
      </c>
      <c r="E72" s="13" t="s">
        <v>109</v>
      </c>
      <c r="F72" s="70">
        <v>46023</v>
      </c>
      <c r="G72" s="70"/>
      <c r="H72" s="14"/>
      <c r="I72" s="70">
        <v>46357</v>
      </c>
      <c r="J72" s="15" t="s">
        <v>75</v>
      </c>
      <c r="K72" s="77">
        <v>64797.599999999999</v>
      </c>
      <c r="L72" s="77">
        <v>64797.599999999999</v>
      </c>
      <c r="M72" s="16"/>
      <c r="N72" s="17"/>
    </row>
    <row r="73" spans="1:14" ht="42.75">
      <c r="A73" s="67" t="str">
        <f t="shared" si="2"/>
        <v>5020301000</v>
      </c>
      <c r="B73" s="69" t="s">
        <v>1759</v>
      </c>
      <c r="C73" s="92" t="s">
        <v>140</v>
      </c>
      <c r="D73" s="84" t="s">
        <v>1761</v>
      </c>
      <c r="E73" s="13" t="s">
        <v>109</v>
      </c>
      <c r="F73" s="70">
        <v>46023</v>
      </c>
      <c r="G73" s="70"/>
      <c r="H73" s="14"/>
      <c r="I73" s="70">
        <v>46357</v>
      </c>
      <c r="J73" s="15" t="s">
        <v>75</v>
      </c>
      <c r="K73" s="77">
        <v>160243.28</v>
      </c>
      <c r="L73" s="77">
        <v>160243.28</v>
      </c>
      <c r="M73" s="16"/>
      <c r="N73" s="17"/>
    </row>
    <row r="74" spans="1:14" ht="28.5">
      <c r="A74" s="67" t="str">
        <f t="shared" si="2"/>
        <v>5029907000</v>
      </c>
      <c r="B74" s="69" t="s">
        <v>1760</v>
      </c>
      <c r="C74" s="92" t="s">
        <v>540</v>
      </c>
      <c r="D74" s="84" t="s">
        <v>1761</v>
      </c>
      <c r="E74" s="13" t="s">
        <v>84</v>
      </c>
      <c r="F74" s="70">
        <v>46023</v>
      </c>
      <c r="G74" s="70"/>
      <c r="H74" s="14"/>
      <c r="I74" s="70">
        <v>46357</v>
      </c>
      <c r="J74" s="15" t="s">
        <v>75</v>
      </c>
      <c r="K74" s="77">
        <v>24000</v>
      </c>
      <c r="L74" s="77">
        <v>24000</v>
      </c>
      <c r="M74" s="16"/>
      <c r="N74" s="17"/>
    </row>
    <row r="75" spans="1:14" ht="29.25" customHeight="1">
      <c r="A75" s="67" t="str">
        <f t="shared" si="2"/>
        <v>5020399000</v>
      </c>
      <c r="B75" s="91" t="s">
        <v>1762</v>
      </c>
      <c r="C75" s="66" t="s">
        <v>209</v>
      </c>
      <c r="D75" s="84" t="s">
        <v>1761</v>
      </c>
      <c r="E75" s="13" t="s">
        <v>78</v>
      </c>
      <c r="F75" s="70">
        <v>46023</v>
      </c>
      <c r="G75" s="70"/>
      <c r="H75" s="14"/>
      <c r="I75" s="70">
        <v>46357</v>
      </c>
      <c r="J75" s="15" t="s">
        <v>75</v>
      </c>
      <c r="K75" s="78">
        <v>92200</v>
      </c>
      <c r="L75" s="78">
        <v>92200</v>
      </c>
      <c r="M75" s="16"/>
      <c r="N75" s="17"/>
    </row>
    <row r="76" spans="1:14" ht="42.75">
      <c r="A76" s="67" t="str">
        <f t="shared" si="2"/>
        <v>5020310000</v>
      </c>
      <c r="B76" s="69" t="s">
        <v>1763</v>
      </c>
      <c r="C76" s="92" t="s">
        <v>162</v>
      </c>
      <c r="D76" s="87" t="s">
        <v>1778</v>
      </c>
      <c r="E76" s="13" t="s">
        <v>109</v>
      </c>
      <c r="F76" s="70">
        <v>46023</v>
      </c>
      <c r="G76" s="70"/>
      <c r="H76" s="14"/>
      <c r="I76" s="70">
        <v>46357</v>
      </c>
      <c r="J76" s="15" t="s">
        <v>75</v>
      </c>
      <c r="K76" s="77">
        <v>23900</v>
      </c>
      <c r="L76" s="77">
        <v>23900</v>
      </c>
      <c r="M76" s="16"/>
      <c r="N76" s="17"/>
    </row>
    <row r="77" spans="1:14" ht="42.75">
      <c r="A77" s="67" t="str">
        <f t="shared" si="2"/>
        <v>5020321004</v>
      </c>
      <c r="B77" s="69" t="s">
        <v>1764</v>
      </c>
      <c r="C77" s="92" t="s">
        <v>181</v>
      </c>
      <c r="D77" s="87" t="s">
        <v>1778</v>
      </c>
      <c r="E77" s="13" t="s">
        <v>109</v>
      </c>
      <c r="F77" s="70">
        <v>46023</v>
      </c>
      <c r="G77" s="70"/>
      <c r="H77" s="14"/>
      <c r="I77" s="70">
        <v>46357</v>
      </c>
      <c r="J77" s="15" t="s">
        <v>75</v>
      </c>
      <c r="K77" s="77">
        <v>9950</v>
      </c>
      <c r="L77" s="77">
        <v>9950</v>
      </c>
      <c r="M77" s="16"/>
      <c r="N77" s="17"/>
    </row>
    <row r="78" spans="1:14" ht="28.5">
      <c r="A78" s="67" t="str">
        <f t="shared" si="2"/>
        <v>5020321002</v>
      </c>
      <c r="B78" s="69" t="s">
        <v>1765</v>
      </c>
      <c r="C78" s="92" t="s">
        <v>177</v>
      </c>
      <c r="D78" s="87" t="s">
        <v>1778</v>
      </c>
      <c r="E78" s="13" t="s">
        <v>109</v>
      </c>
      <c r="F78" s="70">
        <v>46023</v>
      </c>
      <c r="G78" s="70"/>
      <c r="H78" s="14"/>
      <c r="I78" s="70">
        <v>46357</v>
      </c>
      <c r="J78" s="15" t="s">
        <v>75</v>
      </c>
      <c r="K78" s="77">
        <v>165800</v>
      </c>
      <c r="L78" s="77">
        <v>165800</v>
      </c>
      <c r="M78" s="16"/>
      <c r="N78" s="17"/>
    </row>
    <row r="79" spans="1:14" ht="28.5">
      <c r="A79" s="67" t="str">
        <f t="shared" si="2"/>
        <v>5020399000</v>
      </c>
      <c r="B79" s="69" t="s">
        <v>1766</v>
      </c>
      <c r="C79" s="92" t="s">
        <v>209</v>
      </c>
      <c r="D79" s="87" t="s">
        <v>1778</v>
      </c>
      <c r="E79" s="13" t="s">
        <v>109</v>
      </c>
      <c r="F79" s="70">
        <v>46023</v>
      </c>
      <c r="G79" s="70"/>
      <c r="H79" s="14"/>
      <c r="I79" s="70">
        <v>46357</v>
      </c>
      <c r="J79" s="15" t="s">
        <v>75</v>
      </c>
      <c r="K79" s="77">
        <v>40000</v>
      </c>
      <c r="L79" s="77">
        <v>40000</v>
      </c>
      <c r="M79" s="16"/>
      <c r="N79" s="17"/>
    </row>
    <row r="80" spans="1:14" ht="28.5">
      <c r="A80" s="67" t="str">
        <f t="shared" si="2"/>
        <v>5020313000</v>
      </c>
      <c r="B80" s="69" t="s">
        <v>1767</v>
      </c>
      <c r="C80" s="66" t="s">
        <v>171</v>
      </c>
      <c r="D80" s="87" t="s">
        <v>1778</v>
      </c>
      <c r="E80" s="13" t="s">
        <v>109</v>
      </c>
      <c r="F80" s="70">
        <v>46023</v>
      </c>
      <c r="G80" s="70"/>
      <c r="H80" s="14"/>
      <c r="I80" s="70">
        <v>46357</v>
      </c>
      <c r="J80" s="15" t="s">
        <v>75</v>
      </c>
      <c r="K80" s="77">
        <v>60344</v>
      </c>
      <c r="L80" s="77">
        <v>60344</v>
      </c>
      <c r="M80" s="16"/>
      <c r="N80" s="17"/>
    </row>
    <row r="81" spans="1:14" ht="42.75">
      <c r="A81" s="67" t="str">
        <f t="shared" si="2"/>
        <v>5021308004</v>
      </c>
      <c r="B81" s="69" t="s">
        <v>1768</v>
      </c>
      <c r="C81" s="66" t="s">
        <v>392</v>
      </c>
      <c r="D81" s="87" t="s">
        <v>1778</v>
      </c>
      <c r="E81" s="13" t="s">
        <v>109</v>
      </c>
      <c r="F81" s="70">
        <v>46023</v>
      </c>
      <c r="G81" s="70"/>
      <c r="H81" s="14"/>
      <c r="I81" s="70">
        <v>46357</v>
      </c>
      <c r="J81" s="15" t="s">
        <v>75</v>
      </c>
      <c r="K81" s="77">
        <v>427394</v>
      </c>
      <c r="L81" s="77">
        <v>427394</v>
      </c>
      <c r="M81" s="16"/>
      <c r="N81" s="17"/>
    </row>
    <row r="82" spans="1:14" ht="28.5">
      <c r="A82" s="67" t="str">
        <f t="shared" si="2"/>
        <v>5029902000</v>
      </c>
      <c r="B82" s="69" t="s">
        <v>1769</v>
      </c>
      <c r="C82" s="92" t="s">
        <v>514</v>
      </c>
      <c r="D82" s="87" t="s">
        <v>1778</v>
      </c>
      <c r="E82" s="13" t="s">
        <v>109</v>
      </c>
      <c r="F82" s="70">
        <v>46023</v>
      </c>
      <c r="G82" s="70"/>
      <c r="H82" s="14"/>
      <c r="I82" s="70">
        <v>46357</v>
      </c>
      <c r="J82" s="15" t="s">
        <v>75</v>
      </c>
      <c r="K82" s="77">
        <v>362880</v>
      </c>
      <c r="L82" s="77">
        <v>362880</v>
      </c>
      <c r="M82" s="16"/>
      <c r="N82" s="17"/>
    </row>
    <row r="83" spans="1:14" ht="42.75">
      <c r="A83" s="67" t="str">
        <f t="shared" si="2"/>
        <v>5020399000</v>
      </c>
      <c r="B83" s="69" t="s">
        <v>1770</v>
      </c>
      <c r="C83" s="92" t="s">
        <v>209</v>
      </c>
      <c r="D83" s="87" t="s">
        <v>1778</v>
      </c>
      <c r="E83" s="13" t="s">
        <v>109</v>
      </c>
      <c r="F83" s="70">
        <v>46023</v>
      </c>
      <c r="G83" s="70"/>
      <c r="H83" s="14"/>
      <c r="I83" s="70">
        <v>46357</v>
      </c>
      <c r="J83" s="15" t="s">
        <v>75</v>
      </c>
      <c r="K83" s="77">
        <v>103000</v>
      </c>
      <c r="L83" s="77">
        <v>103000</v>
      </c>
      <c r="M83" s="16"/>
      <c r="N83" s="17"/>
    </row>
    <row r="84" spans="1:14" ht="28.5">
      <c r="A84" s="67" t="str">
        <f t="shared" si="2"/>
        <v>5020399000</v>
      </c>
      <c r="B84" s="69" t="s">
        <v>1771</v>
      </c>
      <c r="C84" s="92" t="s">
        <v>209</v>
      </c>
      <c r="D84" s="87" t="s">
        <v>1778</v>
      </c>
      <c r="E84" s="13" t="s">
        <v>74</v>
      </c>
      <c r="F84" s="70">
        <v>46023</v>
      </c>
      <c r="G84" s="70"/>
      <c r="H84" s="14"/>
      <c r="I84" s="70">
        <v>46357</v>
      </c>
      <c r="J84" s="15" t="s">
        <v>75</v>
      </c>
      <c r="K84" s="77">
        <v>131882</v>
      </c>
      <c r="L84" s="77">
        <v>131882</v>
      </c>
      <c r="M84" s="16"/>
      <c r="N84" s="17"/>
    </row>
    <row r="85" spans="1:14" ht="42.75">
      <c r="A85" s="67" t="str">
        <f t="shared" si="2"/>
        <v>5020399000</v>
      </c>
      <c r="B85" s="69" t="s">
        <v>1772</v>
      </c>
      <c r="C85" s="92" t="s">
        <v>209</v>
      </c>
      <c r="D85" s="87" t="s">
        <v>1778</v>
      </c>
      <c r="E85" s="13" t="s">
        <v>109</v>
      </c>
      <c r="F85" s="70">
        <v>46023</v>
      </c>
      <c r="G85" s="70"/>
      <c r="H85" s="14"/>
      <c r="I85" s="70">
        <v>46357</v>
      </c>
      <c r="J85" s="15" t="s">
        <v>75</v>
      </c>
      <c r="K85" s="77">
        <v>5924</v>
      </c>
      <c r="L85" s="77">
        <v>5924</v>
      </c>
      <c r="M85" s="16"/>
      <c r="N85" s="17"/>
    </row>
    <row r="86" spans="1:14" ht="42.75">
      <c r="A86" s="67" t="str">
        <f t="shared" si="2"/>
        <v>5020308000</v>
      </c>
      <c r="B86" s="69" t="s">
        <v>1773</v>
      </c>
      <c r="C86" s="92" t="s">
        <v>158</v>
      </c>
      <c r="D86" s="87" t="s">
        <v>1778</v>
      </c>
      <c r="E86" s="13" t="s">
        <v>109</v>
      </c>
      <c r="F86" s="70">
        <v>46023</v>
      </c>
      <c r="G86" s="70"/>
      <c r="H86" s="14"/>
      <c r="I86" s="70">
        <v>46357</v>
      </c>
      <c r="J86" s="15" t="s">
        <v>75</v>
      </c>
      <c r="K86" s="77">
        <v>13600</v>
      </c>
      <c r="L86" s="77">
        <v>13600</v>
      </c>
      <c r="M86" s="16"/>
      <c r="N86" s="17"/>
    </row>
    <row r="87" spans="1:14" ht="42.75">
      <c r="A87" s="67" t="str">
        <f t="shared" si="2"/>
        <v>5020301000</v>
      </c>
      <c r="B87" s="69" t="s">
        <v>1774</v>
      </c>
      <c r="C87" s="92" t="s">
        <v>140</v>
      </c>
      <c r="D87" s="87" t="s">
        <v>1778</v>
      </c>
      <c r="E87" s="13" t="s">
        <v>74</v>
      </c>
      <c r="F87" s="70">
        <v>46023</v>
      </c>
      <c r="G87" s="70"/>
      <c r="H87" s="14"/>
      <c r="I87" s="70">
        <v>46357</v>
      </c>
      <c r="J87" s="15" t="s">
        <v>75</v>
      </c>
      <c r="K87" s="77">
        <f>142890+350</f>
        <v>143240</v>
      </c>
      <c r="L87" s="77">
        <f>142890+350</f>
        <v>143240</v>
      </c>
      <c r="M87" s="16"/>
      <c r="N87" s="17"/>
    </row>
    <row r="88" spans="1:14" ht="42.75">
      <c r="A88" s="67" t="str">
        <f t="shared" si="2"/>
        <v>5029907000</v>
      </c>
      <c r="B88" s="69" t="s">
        <v>1775</v>
      </c>
      <c r="C88" s="92" t="s">
        <v>540</v>
      </c>
      <c r="D88" s="87" t="s">
        <v>1778</v>
      </c>
      <c r="E88" s="13" t="s">
        <v>84</v>
      </c>
      <c r="F88" s="70">
        <v>46023</v>
      </c>
      <c r="G88" s="70"/>
      <c r="H88" s="14"/>
      <c r="I88" s="70">
        <v>46357</v>
      </c>
      <c r="J88" s="15" t="s">
        <v>75</v>
      </c>
      <c r="K88" s="77">
        <v>441500</v>
      </c>
      <c r="L88" s="77">
        <v>441500</v>
      </c>
      <c r="M88" s="16"/>
      <c r="N88" s="17"/>
    </row>
    <row r="89" spans="1:14" ht="71.25">
      <c r="A89" s="67" t="str">
        <f t="shared" si="2"/>
        <v>5020101000</v>
      </c>
      <c r="B89" s="69" t="s">
        <v>1776</v>
      </c>
      <c r="C89" s="92" t="s">
        <v>124</v>
      </c>
      <c r="D89" s="87" t="s">
        <v>1778</v>
      </c>
      <c r="E89" s="13" t="s">
        <v>109</v>
      </c>
      <c r="F89" s="70">
        <v>46023</v>
      </c>
      <c r="G89" s="70"/>
      <c r="H89" s="14"/>
      <c r="I89" s="70">
        <v>46357</v>
      </c>
      <c r="J89" s="15" t="s">
        <v>75</v>
      </c>
      <c r="K89" s="77">
        <v>644000</v>
      </c>
      <c r="L89" s="77">
        <v>644000</v>
      </c>
      <c r="M89" s="16"/>
      <c r="N89" s="17"/>
    </row>
    <row r="90" spans="1:14" ht="42.75">
      <c r="A90" s="67" t="str">
        <f t="shared" si="2"/>
        <v>5020101000</v>
      </c>
      <c r="B90" s="69" t="s">
        <v>1777</v>
      </c>
      <c r="C90" s="92" t="s">
        <v>124</v>
      </c>
      <c r="D90" s="87" t="s">
        <v>1778</v>
      </c>
      <c r="E90" s="13" t="s">
        <v>109</v>
      </c>
      <c r="F90" s="70">
        <v>46023</v>
      </c>
      <c r="G90" s="70"/>
      <c r="H90" s="14"/>
      <c r="I90" s="70">
        <v>46357</v>
      </c>
      <c r="J90" s="15" t="s">
        <v>75</v>
      </c>
      <c r="K90" s="72">
        <v>135000</v>
      </c>
      <c r="L90" s="72">
        <v>135000</v>
      </c>
      <c r="M90" s="16"/>
      <c r="N90" s="17"/>
    </row>
    <row r="91" spans="1:14" ht="28.5">
      <c r="A91" s="67" t="str">
        <f t="shared" si="2"/>
        <v>5020309000</v>
      </c>
      <c r="B91" s="69" t="s">
        <v>1779</v>
      </c>
      <c r="C91" s="92" t="s">
        <v>160</v>
      </c>
      <c r="D91" s="87" t="s">
        <v>1778</v>
      </c>
      <c r="E91" s="13" t="s">
        <v>78</v>
      </c>
      <c r="F91" s="70">
        <v>46023</v>
      </c>
      <c r="G91" s="70"/>
      <c r="H91" s="14"/>
      <c r="I91" s="70">
        <v>46357</v>
      </c>
      <c r="J91" s="15" t="s">
        <v>75</v>
      </c>
      <c r="K91" s="77">
        <v>1950</v>
      </c>
      <c r="L91" s="77">
        <v>1950</v>
      </c>
      <c r="M91" s="16"/>
      <c r="N91" s="17"/>
    </row>
    <row r="92" spans="1:14" s="80" customFormat="1" ht="57">
      <c r="A92" s="67" t="str">
        <f t="shared" si="2"/>
        <v>5020321004</v>
      </c>
      <c r="B92" s="69" t="s">
        <v>1780</v>
      </c>
      <c r="C92" s="92" t="s">
        <v>181</v>
      </c>
      <c r="D92" s="87" t="s">
        <v>1795</v>
      </c>
      <c r="E92" s="13" t="s">
        <v>109</v>
      </c>
      <c r="F92" s="70">
        <v>46023</v>
      </c>
      <c r="G92" s="70"/>
      <c r="H92" s="14"/>
      <c r="I92" s="70">
        <v>46357</v>
      </c>
      <c r="J92" s="15" t="s">
        <v>75</v>
      </c>
      <c r="K92" s="77">
        <v>22000</v>
      </c>
      <c r="L92" s="77">
        <v>22000</v>
      </c>
      <c r="M92" s="97"/>
      <c r="N92" s="98"/>
    </row>
    <row r="93" spans="1:14" s="80" customFormat="1" ht="42.75">
      <c r="A93" s="67" t="str">
        <f t="shared" si="2"/>
        <v>5020309000</v>
      </c>
      <c r="B93" s="69" t="s">
        <v>1781</v>
      </c>
      <c r="C93" s="92" t="s">
        <v>160</v>
      </c>
      <c r="D93" s="87" t="s">
        <v>1795</v>
      </c>
      <c r="E93" s="13" t="s">
        <v>109</v>
      </c>
      <c r="F93" s="70">
        <v>46023</v>
      </c>
      <c r="G93" s="70"/>
      <c r="H93" s="14"/>
      <c r="I93" s="70">
        <v>46357</v>
      </c>
      <c r="J93" s="15" t="s">
        <v>75</v>
      </c>
      <c r="K93" s="77">
        <v>245750</v>
      </c>
      <c r="L93" s="77">
        <v>245750</v>
      </c>
      <c r="M93" s="97"/>
      <c r="N93" s="98"/>
    </row>
    <row r="94" spans="1:14" s="80" customFormat="1" ht="28.5">
      <c r="A94" s="67" t="str">
        <f t="shared" si="2"/>
        <v>5020321002</v>
      </c>
      <c r="B94" s="69" t="s">
        <v>1782</v>
      </c>
      <c r="C94" s="92" t="s">
        <v>177</v>
      </c>
      <c r="D94" s="87" t="s">
        <v>1795</v>
      </c>
      <c r="E94" s="13" t="s">
        <v>74</v>
      </c>
      <c r="F94" s="70">
        <v>46023</v>
      </c>
      <c r="G94" s="70"/>
      <c r="H94" s="14"/>
      <c r="I94" s="70">
        <v>46357</v>
      </c>
      <c r="J94" s="15" t="s">
        <v>75</v>
      </c>
      <c r="K94" s="77">
        <v>298973</v>
      </c>
      <c r="L94" s="77">
        <v>298973</v>
      </c>
      <c r="M94" s="97"/>
      <c r="N94" s="98"/>
    </row>
    <row r="95" spans="1:14" s="80" customFormat="1" ht="28.5">
      <c r="A95" s="67" t="str">
        <f t="shared" si="2"/>
        <v>5020399000</v>
      </c>
      <c r="B95" s="69" t="s">
        <v>1783</v>
      </c>
      <c r="C95" s="92" t="s">
        <v>209</v>
      </c>
      <c r="D95" s="87" t="s">
        <v>1795</v>
      </c>
      <c r="E95" s="13" t="s">
        <v>109</v>
      </c>
      <c r="F95" s="70">
        <v>46023</v>
      </c>
      <c r="G95" s="70"/>
      <c r="H95" s="14"/>
      <c r="I95" s="70">
        <v>46357</v>
      </c>
      <c r="J95" s="15" t="s">
        <v>75</v>
      </c>
      <c r="K95" s="77">
        <v>99650</v>
      </c>
      <c r="L95" s="77">
        <v>99650</v>
      </c>
      <c r="M95" s="97"/>
      <c r="N95" s="98"/>
    </row>
    <row r="96" spans="1:14" s="80" customFormat="1" ht="28.5">
      <c r="A96" s="67" t="str">
        <f t="shared" si="2"/>
        <v>5029902000</v>
      </c>
      <c r="B96" s="69" t="s">
        <v>1784</v>
      </c>
      <c r="C96" s="92" t="s">
        <v>514</v>
      </c>
      <c r="D96" s="87" t="s">
        <v>1795</v>
      </c>
      <c r="E96" s="13" t="s">
        <v>109</v>
      </c>
      <c r="F96" s="70">
        <v>46023</v>
      </c>
      <c r="G96" s="70"/>
      <c r="H96" s="14"/>
      <c r="I96" s="70">
        <v>46357</v>
      </c>
      <c r="J96" s="15" t="s">
        <v>75</v>
      </c>
      <c r="K96" s="77">
        <v>4316</v>
      </c>
      <c r="L96" s="77">
        <v>4316</v>
      </c>
      <c r="M96" s="97"/>
      <c r="N96" s="98"/>
    </row>
    <row r="97" spans="1:14" s="80" customFormat="1" ht="42.75">
      <c r="A97" s="67" t="str">
        <f t="shared" si="2"/>
        <v>5020311001</v>
      </c>
      <c r="B97" s="69" t="s">
        <v>1785</v>
      </c>
      <c r="C97" s="92" t="s">
        <v>164</v>
      </c>
      <c r="D97" s="87" t="s">
        <v>1795</v>
      </c>
      <c r="E97" s="13" t="s">
        <v>109</v>
      </c>
      <c r="F97" s="70">
        <v>46023</v>
      </c>
      <c r="G97" s="70"/>
      <c r="H97" s="14"/>
      <c r="I97" s="70">
        <v>46357</v>
      </c>
      <c r="J97" s="15" t="s">
        <v>75</v>
      </c>
      <c r="K97" s="77">
        <v>645800</v>
      </c>
      <c r="L97" s="77">
        <v>645800</v>
      </c>
      <c r="M97" s="97"/>
      <c r="N97" s="98"/>
    </row>
    <row r="98" spans="1:14" s="80" customFormat="1" ht="28.5">
      <c r="A98" s="67" t="str">
        <f t="shared" si="2"/>
        <v>5029902000</v>
      </c>
      <c r="B98" s="69" t="s">
        <v>1786</v>
      </c>
      <c r="C98" s="92" t="s">
        <v>514</v>
      </c>
      <c r="D98" s="87" t="s">
        <v>1795</v>
      </c>
      <c r="E98" s="13" t="s">
        <v>109</v>
      </c>
      <c r="F98" s="70">
        <v>46023</v>
      </c>
      <c r="G98" s="70"/>
      <c r="H98" s="14"/>
      <c r="I98" s="70">
        <v>46357</v>
      </c>
      <c r="J98" s="15" t="s">
        <v>75</v>
      </c>
      <c r="K98" s="77">
        <v>11600</v>
      </c>
      <c r="L98" s="77">
        <v>11600</v>
      </c>
      <c r="M98" s="97"/>
      <c r="N98" s="98"/>
    </row>
    <row r="99" spans="1:14" s="80" customFormat="1" ht="42.75">
      <c r="A99" s="67" t="str">
        <f t="shared" si="2"/>
        <v>5020399000</v>
      </c>
      <c r="B99" s="69" t="s">
        <v>1787</v>
      </c>
      <c r="C99" s="92" t="s">
        <v>209</v>
      </c>
      <c r="D99" s="87" t="s">
        <v>1795</v>
      </c>
      <c r="E99" s="13" t="s">
        <v>74</v>
      </c>
      <c r="F99" s="70">
        <v>46023</v>
      </c>
      <c r="G99" s="70"/>
      <c r="H99" s="14"/>
      <c r="I99" s="70">
        <v>46357</v>
      </c>
      <c r="J99" s="15" t="s">
        <v>75</v>
      </c>
      <c r="K99" s="77">
        <v>58556</v>
      </c>
      <c r="L99" s="77">
        <v>58556</v>
      </c>
      <c r="M99" s="97"/>
      <c r="N99" s="98"/>
    </row>
    <row r="100" spans="1:14" s="80" customFormat="1" ht="42.75">
      <c r="A100" s="67" t="str">
        <f t="shared" si="2"/>
        <v>5020399000</v>
      </c>
      <c r="B100" s="69" t="s">
        <v>1788</v>
      </c>
      <c r="C100" s="92" t="s">
        <v>209</v>
      </c>
      <c r="D100" s="87" t="s">
        <v>1795</v>
      </c>
      <c r="E100" s="13" t="s">
        <v>109</v>
      </c>
      <c r="F100" s="70">
        <v>46023</v>
      </c>
      <c r="G100" s="70"/>
      <c r="H100" s="14"/>
      <c r="I100" s="70">
        <v>46357</v>
      </c>
      <c r="J100" s="15" t="s">
        <v>75</v>
      </c>
      <c r="K100" s="77">
        <v>3468</v>
      </c>
      <c r="L100" s="77">
        <v>3468</v>
      </c>
      <c r="M100" s="97"/>
      <c r="N100" s="98"/>
    </row>
    <row r="101" spans="1:14" s="80" customFormat="1" ht="42.75">
      <c r="A101" s="67" t="str">
        <f t="shared" si="2"/>
        <v>5029905001</v>
      </c>
      <c r="B101" s="69" t="s">
        <v>1789</v>
      </c>
      <c r="C101" s="92" t="s">
        <v>522</v>
      </c>
      <c r="D101" s="87" t="s">
        <v>1795</v>
      </c>
      <c r="E101" s="13" t="s">
        <v>109</v>
      </c>
      <c r="F101" s="70">
        <v>46023</v>
      </c>
      <c r="G101" s="70"/>
      <c r="H101" s="14"/>
      <c r="I101" s="70">
        <v>46357</v>
      </c>
      <c r="J101" s="15" t="s">
        <v>75</v>
      </c>
      <c r="K101" s="77">
        <v>50000</v>
      </c>
      <c r="L101" s="77">
        <v>50000</v>
      </c>
      <c r="M101" s="97"/>
      <c r="N101" s="98"/>
    </row>
    <row r="102" spans="1:14" s="80" customFormat="1" ht="42.75">
      <c r="A102" s="67" t="str">
        <f t="shared" si="2"/>
        <v>5020308000</v>
      </c>
      <c r="B102" s="69" t="s">
        <v>1790</v>
      </c>
      <c r="C102" s="92" t="s">
        <v>158</v>
      </c>
      <c r="D102" s="87" t="s">
        <v>1795</v>
      </c>
      <c r="E102" s="13" t="s">
        <v>109</v>
      </c>
      <c r="F102" s="70">
        <v>46023</v>
      </c>
      <c r="G102" s="70"/>
      <c r="H102" s="14"/>
      <c r="I102" s="70">
        <v>46357</v>
      </c>
      <c r="J102" s="15" t="s">
        <v>75</v>
      </c>
      <c r="K102" s="77">
        <v>33590</v>
      </c>
      <c r="L102" s="77">
        <v>33590</v>
      </c>
      <c r="M102" s="97"/>
      <c r="N102" s="98"/>
    </row>
    <row r="103" spans="1:14" s="80" customFormat="1" ht="28.5">
      <c r="A103" s="67" t="str">
        <f t="shared" si="2"/>
        <v>5020399000</v>
      </c>
      <c r="B103" s="69" t="s">
        <v>1791</v>
      </c>
      <c r="C103" s="92" t="s">
        <v>209</v>
      </c>
      <c r="D103" s="87" t="s">
        <v>1795</v>
      </c>
      <c r="E103" s="13" t="s">
        <v>109</v>
      </c>
      <c r="F103" s="70">
        <v>46023</v>
      </c>
      <c r="G103" s="70"/>
      <c r="H103" s="14"/>
      <c r="I103" s="70">
        <v>46357</v>
      </c>
      <c r="J103" s="15" t="s">
        <v>75</v>
      </c>
      <c r="K103" s="77">
        <v>129032</v>
      </c>
      <c r="L103" s="77">
        <v>129032</v>
      </c>
      <c r="M103" s="97"/>
      <c r="N103" s="98"/>
    </row>
    <row r="104" spans="1:14" s="80" customFormat="1" ht="42.75">
      <c r="A104" s="67" t="str">
        <f t="shared" si="2"/>
        <v>5020301000</v>
      </c>
      <c r="B104" s="69" t="s">
        <v>1792</v>
      </c>
      <c r="C104" s="92" t="s">
        <v>140</v>
      </c>
      <c r="D104" s="87" t="s">
        <v>1795</v>
      </c>
      <c r="E104" s="13" t="s">
        <v>109</v>
      </c>
      <c r="F104" s="70">
        <v>46023</v>
      </c>
      <c r="G104" s="70"/>
      <c r="H104" s="14"/>
      <c r="I104" s="70">
        <v>46357</v>
      </c>
      <c r="J104" s="15" t="s">
        <v>75</v>
      </c>
      <c r="K104" s="77">
        <f>491962+540</f>
        <v>492502</v>
      </c>
      <c r="L104" s="77">
        <f>491962+540</f>
        <v>492502</v>
      </c>
      <c r="M104" s="97"/>
      <c r="N104" s="98"/>
    </row>
    <row r="105" spans="1:14" s="80" customFormat="1" ht="42.75">
      <c r="A105" s="67" t="str">
        <f t="shared" si="2"/>
        <v>5029902000</v>
      </c>
      <c r="B105" s="69" t="s">
        <v>1793</v>
      </c>
      <c r="C105" s="92" t="s">
        <v>514</v>
      </c>
      <c r="D105" s="87" t="s">
        <v>1795</v>
      </c>
      <c r="E105" s="13" t="s">
        <v>109</v>
      </c>
      <c r="F105" s="70">
        <v>46023</v>
      </c>
      <c r="G105" s="70"/>
      <c r="H105" s="14"/>
      <c r="I105" s="70">
        <v>46357</v>
      </c>
      <c r="J105" s="15" t="s">
        <v>75</v>
      </c>
      <c r="K105" s="77">
        <v>202000</v>
      </c>
      <c r="L105" s="77">
        <v>202000</v>
      </c>
      <c r="M105" s="97"/>
      <c r="N105" s="98"/>
    </row>
    <row r="106" spans="1:14" s="80" customFormat="1" ht="28.5">
      <c r="A106" s="67" t="str">
        <f t="shared" si="2"/>
        <v>5020399000</v>
      </c>
      <c r="B106" s="69" t="s">
        <v>1794</v>
      </c>
      <c r="C106" s="92" t="s">
        <v>209</v>
      </c>
      <c r="D106" s="87" t="s">
        <v>1795</v>
      </c>
      <c r="E106" s="13" t="s">
        <v>109</v>
      </c>
      <c r="F106" s="70">
        <v>46023</v>
      </c>
      <c r="G106" s="70"/>
      <c r="H106" s="14"/>
      <c r="I106" s="70">
        <v>46357</v>
      </c>
      <c r="J106" s="15" t="s">
        <v>75</v>
      </c>
      <c r="K106" s="77">
        <v>24950</v>
      </c>
      <c r="L106" s="77">
        <v>24950</v>
      </c>
      <c r="M106" s="97"/>
      <c r="N106" s="98"/>
    </row>
    <row r="107" spans="1:14" ht="28.5">
      <c r="A107" s="67" t="str">
        <f t="shared" si="2"/>
        <v>5020399000</v>
      </c>
      <c r="B107" s="79" t="s">
        <v>1796</v>
      </c>
      <c r="C107" s="66" t="s">
        <v>209</v>
      </c>
      <c r="D107" s="87" t="s">
        <v>1795</v>
      </c>
      <c r="E107" s="13" t="s">
        <v>78</v>
      </c>
      <c r="F107" s="70">
        <v>46023</v>
      </c>
      <c r="G107" s="70"/>
      <c r="H107" s="14"/>
      <c r="I107" s="70">
        <v>46357</v>
      </c>
      <c r="J107" s="15" t="s">
        <v>75</v>
      </c>
      <c r="K107" s="105">
        <f>36000+20000</f>
        <v>56000</v>
      </c>
      <c r="L107" s="105">
        <f>36000+20000</f>
        <v>56000</v>
      </c>
      <c r="M107" s="16"/>
      <c r="N107" s="17"/>
    </row>
    <row r="108" spans="1:14" s="83" customFormat="1" ht="38.25">
      <c r="A108" s="67" t="str">
        <f t="shared" si="2"/>
        <v>5021305000</v>
      </c>
      <c r="B108" s="82" t="s">
        <v>1797</v>
      </c>
      <c r="C108" s="92" t="s">
        <v>348</v>
      </c>
      <c r="D108" s="99" t="s">
        <v>1858</v>
      </c>
      <c r="E108" s="94" t="s">
        <v>109</v>
      </c>
      <c r="F108" s="70">
        <v>46023</v>
      </c>
      <c r="G108" s="70"/>
      <c r="H108" s="14"/>
      <c r="I108" s="70">
        <v>46357</v>
      </c>
      <c r="J108" s="95" t="s">
        <v>83</v>
      </c>
      <c r="K108" s="72">
        <v>16200</v>
      </c>
      <c r="L108" s="72">
        <v>16200</v>
      </c>
      <c r="M108" s="93"/>
      <c r="N108" s="96"/>
    </row>
    <row r="109" spans="1:14" s="83" customFormat="1" ht="25.5">
      <c r="A109" s="67" t="str">
        <f t="shared" si="2"/>
        <v>5020301000</v>
      </c>
      <c r="B109" s="82" t="s">
        <v>1798</v>
      </c>
      <c r="C109" s="92" t="s">
        <v>140</v>
      </c>
      <c r="D109" s="99" t="s">
        <v>1858</v>
      </c>
      <c r="E109" s="94" t="s">
        <v>109</v>
      </c>
      <c r="F109" s="70">
        <v>46023</v>
      </c>
      <c r="G109" s="70"/>
      <c r="H109" s="14"/>
      <c r="I109" s="70">
        <v>46357</v>
      </c>
      <c r="J109" s="95" t="s">
        <v>83</v>
      </c>
      <c r="K109" s="72">
        <v>72500</v>
      </c>
      <c r="L109" s="72">
        <v>72500</v>
      </c>
      <c r="M109" s="93"/>
      <c r="N109" s="96"/>
    </row>
    <row r="110" spans="1:14" s="83" customFormat="1" ht="38.25">
      <c r="A110" s="67" t="str">
        <f t="shared" si="2"/>
        <v>5021601000</v>
      </c>
      <c r="B110" s="82" t="s">
        <v>1799</v>
      </c>
      <c r="C110" s="92" t="s">
        <v>508</v>
      </c>
      <c r="D110" s="99" t="s">
        <v>1858</v>
      </c>
      <c r="E110" s="94" t="s">
        <v>93</v>
      </c>
      <c r="F110" s="70">
        <v>46023</v>
      </c>
      <c r="G110" s="70"/>
      <c r="H110" s="14"/>
      <c r="I110" s="70">
        <v>46357</v>
      </c>
      <c r="J110" s="95" t="s">
        <v>83</v>
      </c>
      <c r="K110" s="72">
        <v>100000</v>
      </c>
      <c r="L110" s="72">
        <v>100000</v>
      </c>
      <c r="M110" s="93"/>
      <c r="N110" s="96"/>
    </row>
    <row r="111" spans="1:14" s="83" customFormat="1" ht="38.25">
      <c r="A111" s="67" t="str">
        <f t="shared" si="2"/>
        <v>5020201000</v>
      </c>
      <c r="B111" s="82" t="s">
        <v>1800</v>
      </c>
      <c r="C111" s="92" t="s">
        <v>131</v>
      </c>
      <c r="D111" s="99" t="s">
        <v>1858</v>
      </c>
      <c r="E111" s="94" t="s">
        <v>109</v>
      </c>
      <c r="F111" s="70">
        <v>46023</v>
      </c>
      <c r="G111" s="70"/>
      <c r="H111" s="14"/>
      <c r="I111" s="70">
        <v>46357</v>
      </c>
      <c r="J111" s="95" t="s">
        <v>83</v>
      </c>
      <c r="K111" s="72">
        <v>1250000</v>
      </c>
      <c r="L111" s="72">
        <v>1250000</v>
      </c>
      <c r="M111" s="93"/>
      <c r="N111" s="96"/>
    </row>
    <row r="112" spans="1:14" s="83" customFormat="1" ht="38.25">
      <c r="A112" s="67" t="str">
        <f t="shared" si="2"/>
        <v>5020399000</v>
      </c>
      <c r="B112" s="82" t="s">
        <v>1801</v>
      </c>
      <c r="C112" s="92" t="s">
        <v>209</v>
      </c>
      <c r="D112" s="99" t="s">
        <v>1858</v>
      </c>
      <c r="E112" s="94" t="s">
        <v>74</v>
      </c>
      <c r="F112" s="70">
        <v>46023</v>
      </c>
      <c r="G112" s="70"/>
      <c r="H112" s="14"/>
      <c r="I112" s="70">
        <v>46357</v>
      </c>
      <c r="J112" s="95" t="s">
        <v>83</v>
      </c>
      <c r="K112" s="72">
        <v>48250</v>
      </c>
      <c r="L112" s="72">
        <v>48250</v>
      </c>
      <c r="M112" s="93"/>
      <c r="N112" s="96"/>
    </row>
    <row r="113" spans="1:14" s="83" customFormat="1" ht="25.5">
      <c r="A113" s="67" t="str">
        <f t="shared" si="2"/>
        <v>5020399000</v>
      </c>
      <c r="B113" s="82" t="s">
        <v>1802</v>
      </c>
      <c r="C113" s="92" t="s">
        <v>209</v>
      </c>
      <c r="D113" s="99" t="s">
        <v>1858</v>
      </c>
      <c r="E113" s="94" t="s">
        <v>109</v>
      </c>
      <c r="F113" s="70">
        <v>46023</v>
      </c>
      <c r="G113" s="70"/>
      <c r="H113" s="14"/>
      <c r="I113" s="70">
        <v>46357</v>
      </c>
      <c r="J113" s="95" t="s">
        <v>83</v>
      </c>
      <c r="K113" s="72">
        <v>6821</v>
      </c>
      <c r="L113" s="72">
        <v>6821</v>
      </c>
      <c r="M113" s="93"/>
      <c r="N113" s="96"/>
    </row>
    <row r="114" spans="1:14" s="83" customFormat="1" ht="25.5">
      <c r="A114" s="67" t="str">
        <f t="shared" si="2"/>
        <v>5020399000</v>
      </c>
      <c r="B114" s="82" t="s">
        <v>1803</v>
      </c>
      <c r="C114" s="92" t="s">
        <v>209</v>
      </c>
      <c r="D114" s="99" t="s">
        <v>1858</v>
      </c>
      <c r="E114" s="94" t="s">
        <v>109</v>
      </c>
      <c r="F114" s="70">
        <v>46023</v>
      </c>
      <c r="G114" s="70"/>
      <c r="H114" s="14"/>
      <c r="I114" s="70">
        <v>46357</v>
      </c>
      <c r="J114" s="95" t="s">
        <v>83</v>
      </c>
      <c r="K114" s="72">
        <v>6000</v>
      </c>
      <c r="L114" s="72">
        <v>6000</v>
      </c>
      <c r="M114" s="93"/>
      <c r="N114" s="96"/>
    </row>
    <row r="115" spans="1:14" s="83" customFormat="1" ht="38.25">
      <c r="A115" s="67" t="str">
        <f t="shared" si="2"/>
        <v>5020301000</v>
      </c>
      <c r="B115" s="82" t="s">
        <v>1804</v>
      </c>
      <c r="C115" s="92" t="s">
        <v>140</v>
      </c>
      <c r="D115" s="99" t="s">
        <v>1858</v>
      </c>
      <c r="E115" s="94" t="s">
        <v>109</v>
      </c>
      <c r="F115" s="70">
        <v>46023</v>
      </c>
      <c r="G115" s="70"/>
      <c r="H115" s="14"/>
      <c r="I115" s="70">
        <v>46357</v>
      </c>
      <c r="J115" s="95" t="s">
        <v>83</v>
      </c>
      <c r="K115" s="72">
        <v>123204</v>
      </c>
      <c r="L115" s="72">
        <v>123204</v>
      </c>
      <c r="M115" s="93"/>
      <c r="N115" s="96"/>
    </row>
    <row r="116" spans="1:14" s="83" customFormat="1" ht="38.25">
      <c r="A116" s="67" t="str">
        <f t="shared" si="2"/>
        <v>5020101000</v>
      </c>
      <c r="B116" s="82" t="s">
        <v>1805</v>
      </c>
      <c r="C116" s="92" t="s">
        <v>124</v>
      </c>
      <c r="D116" s="99" t="s">
        <v>1858</v>
      </c>
      <c r="E116" s="94" t="s">
        <v>109</v>
      </c>
      <c r="F116" s="70">
        <v>46023</v>
      </c>
      <c r="G116" s="70"/>
      <c r="H116" s="14"/>
      <c r="I116" s="70">
        <v>46357</v>
      </c>
      <c r="J116" s="95" t="s">
        <v>83</v>
      </c>
      <c r="K116" s="72">
        <v>350000</v>
      </c>
      <c r="L116" s="72">
        <v>350000</v>
      </c>
      <c r="M116" s="93"/>
      <c r="N116" s="96"/>
    </row>
    <row r="117" spans="1:14" s="83" customFormat="1" ht="38.25">
      <c r="A117" s="67" t="str">
        <f t="shared" si="2"/>
        <v>5020101000</v>
      </c>
      <c r="B117" s="82" t="s">
        <v>1806</v>
      </c>
      <c r="C117" s="92" t="s">
        <v>124</v>
      </c>
      <c r="D117" s="99" t="s">
        <v>1858</v>
      </c>
      <c r="E117" s="94" t="s">
        <v>84</v>
      </c>
      <c r="F117" s="70">
        <v>46023</v>
      </c>
      <c r="G117" s="70"/>
      <c r="H117" s="14"/>
      <c r="I117" s="70">
        <v>46357</v>
      </c>
      <c r="J117" s="95" t="s">
        <v>83</v>
      </c>
      <c r="K117" s="72">
        <v>54000</v>
      </c>
      <c r="L117" s="72">
        <v>54000</v>
      </c>
      <c r="M117" s="93"/>
      <c r="N117" s="96"/>
    </row>
    <row r="118" spans="1:14" s="83" customFormat="1" ht="25.5">
      <c r="A118" s="67" t="str">
        <f t="shared" si="2"/>
        <v>5020101000</v>
      </c>
      <c r="B118" s="82" t="s">
        <v>1807</v>
      </c>
      <c r="C118" s="92" t="s">
        <v>124</v>
      </c>
      <c r="D118" s="99" t="s">
        <v>1858</v>
      </c>
      <c r="E118" s="94" t="s">
        <v>109</v>
      </c>
      <c r="F118" s="70">
        <v>46023</v>
      </c>
      <c r="G118" s="70"/>
      <c r="H118" s="14"/>
      <c r="I118" s="70">
        <v>46357</v>
      </c>
      <c r="J118" s="95" t="s">
        <v>83</v>
      </c>
      <c r="K118" s="72">
        <v>45000</v>
      </c>
      <c r="L118" s="72">
        <v>45000</v>
      </c>
      <c r="M118" s="93"/>
      <c r="N118" s="96"/>
    </row>
    <row r="119" spans="1:14" s="83" customFormat="1" ht="38.25">
      <c r="A119" s="67" t="str">
        <f t="shared" si="2"/>
        <v>5020399000</v>
      </c>
      <c r="B119" s="82" t="s">
        <v>1808</v>
      </c>
      <c r="C119" s="92" t="s">
        <v>209</v>
      </c>
      <c r="D119" s="99" t="s">
        <v>1858</v>
      </c>
      <c r="E119" s="94" t="s">
        <v>109</v>
      </c>
      <c r="F119" s="70">
        <v>46023</v>
      </c>
      <c r="G119" s="70"/>
      <c r="H119" s="14"/>
      <c r="I119" s="70">
        <v>46357</v>
      </c>
      <c r="J119" s="95" t="s">
        <v>83</v>
      </c>
      <c r="K119" s="72">
        <v>117500</v>
      </c>
      <c r="L119" s="72">
        <v>117500</v>
      </c>
      <c r="M119" s="93"/>
      <c r="N119" s="96"/>
    </row>
    <row r="120" spans="1:14" s="83" customFormat="1" ht="38.25">
      <c r="A120" s="67" t="str">
        <f t="shared" si="2"/>
        <v>5020310000</v>
      </c>
      <c r="B120" s="82" t="s">
        <v>1809</v>
      </c>
      <c r="C120" s="92" t="s">
        <v>162</v>
      </c>
      <c r="D120" s="99" t="s">
        <v>1858</v>
      </c>
      <c r="E120" s="94" t="s">
        <v>109</v>
      </c>
      <c r="F120" s="70">
        <v>46023</v>
      </c>
      <c r="G120" s="70"/>
      <c r="H120" s="14"/>
      <c r="I120" s="70">
        <v>46357</v>
      </c>
      <c r="J120" s="95" t="s">
        <v>83</v>
      </c>
      <c r="K120" s="72">
        <v>54300</v>
      </c>
      <c r="L120" s="72">
        <v>54300</v>
      </c>
      <c r="M120" s="93"/>
      <c r="N120" s="96"/>
    </row>
    <row r="121" spans="1:14" s="83" customFormat="1" ht="38.25">
      <c r="A121" s="67" t="str">
        <f t="shared" si="2"/>
        <v>5020321004</v>
      </c>
      <c r="B121" s="82" t="s">
        <v>1810</v>
      </c>
      <c r="C121" s="92" t="s">
        <v>181</v>
      </c>
      <c r="D121" s="99" t="s">
        <v>1858</v>
      </c>
      <c r="E121" s="94" t="s">
        <v>109</v>
      </c>
      <c r="F121" s="70">
        <v>46023</v>
      </c>
      <c r="G121" s="70"/>
      <c r="H121" s="14"/>
      <c r="I121" s="70">
        <v>46357</v>
      </c>
      <c r="J121" s="95" t="s">
        <v>83</v>
      </c>
      <c r="K121" s="72">
        <v>32000</v>
      </c>
      <c r="L121" s="72">
        <v>32000</v>
      </c>
      <c r="M121" s="93"/>
      <c r="N121" s="96"/>
    </row>
    <row r="122" spans="1:14" s="83" customFormat="1" ht="25.5">
      <c r="A122" s="67" t="str">
        <f t="shared" si="2"/>
        <v>5020309000</v>
      </c>
      <c r="B122" s="82" t="s">
        <v>1811</v>
      </c>
      <c r="C122" s="92" t="s">
        <v>160</v>
      </c>
      <c r="D122" s="99" t="s">
        <v>1858</v>
      </c>
      <c r="E122" s="94" t="s">
        <v>109</v>
      </c>
      <c r="F122" s="70">
        <v>46023</v>
      </c>
      <c r="G122" s="70"/>
      <c r="H122" s="14"/>
      <c r="I122" s="70">
        <v>46357</v>
      </c>
      <c r="J122" s="95" t="s">
        <v>83</v>
      </c>
      <c r="K122" s="72">
        <v>122550</v>
      </c>
      <c r="L122" s="72">
        <v>122550</v>
      </c>
      <c r="M122" s="93"/>
      <c r="N122" s="96"/>
    </row>
    <row r="123" spans="1:14" s="83" customFormat="1" ht="25.5">
      <c r="A123" s="67" t="str">
        <f t="shared" si="2"/>
        <v>5020399000</v>
      </c>
      <c r="B123" s="82" t="s">
        <v>1812</v>
      </c>
      <c r="C123" s="92" t="s">
        <v>209</v>
      </c>
      <c r="D123" s="99" t="s">
        <v>1858</v>
      </c>
      <c r="E123" s="94" t="s">
        <v>109</v>
      </c>
      <c r="F123" s="70">
        <v>46023</v>
      </c>
      <c r="G123" s="70"/>
      <c r="H123" s="14"/>
      <c r="I123" s="70">
        <v>46357</v>
      </c>
      <c r="J123" s="95" t="s">
        <v>83</v>
      </c>
      <c r="K123" s="72">
        <v>16330</v>
      </c>
      <c r="L123" s="72">
        <v>16330</v>
      </c>
      <c r="M123" s="93"/>
      <c r="N123" s="96"/>
    </row>
    <row r="124" spans="1:14" s="83" customFormat="1" ht="25.5">
      <c r="A124" s="67" t="str">
        <f t="shared" si="2"/>
        <v>5029902000</v>
      </c>
      <c r="B124" s="82" t="s">
        <v>1813</v>
      </c>
      <c r="C124" s="92" t="s">
        <v>514</v>
      </c>
      <c r="D124" s="99" t="s">
        <v>1858</v>
      </c>
      <c r="E124" s="94" t="s">
        <v>84</v>
      </c>
      <c r="F124" s="70">
        <v>46023</v>
      </c>
      <c r="G124" s="70"/>
      <c r="H124" s="14"/>
      <c r="I124" s="70">
        <v>46357</v>
      </c>
      <c r="J124" s="95" t="s">
        <v>83</v>
      </c>
      <c r="K124" s="72">
        <v>25690</v>
      </c>
      <c r="L124" s="72">
        <v>25690</v>
      </c>
      <c r="M124" s="93"/>
      <c r="N124" s="96"/>
    </row>
    <row r="125" spans="1:14" s="83" customFormat="1" ht="25.5">
      <c r="A125" s="67" t="str">
        <f t="shared" si="2"/>
        <v>5021304000</v>
      </c>
      <c r="B125" s="82" t="s">
        <v>1814</v>
      </c>
      <c r="C125" s="92" t="s">
        <v>332</v>
      </c>
      <c r="D125" s="99" t="s">
        <v>1858</v>
      </c>
      <c r="E125" s="94" t="s">
        <v>109</v>
      </c>
      <c r="F125" s="70">
        <v>46023</v>
      </c>
      <c r="G125" s="70"/>
      <c r="H125" s="14"/>
      <c r="I125" s="70">
        <v>46357</v>
      </c>
      <c r="J125" s="95" t="s">
        <v>83</v>
      </c>
      <c r="K125" s="72">
        <v>36000</v>
      </c>
      <c r="L125" s="72">
        <v>36000</v>
      </c>
      <c r="M125" s="93"/>
      <c r="N125" s="96"/>
    </row>
    <row r="126" spans="1:14" s="83" customFormat="1" ht="38.25">
      <c r="A126" s="67" t="str">
        <f t="shared" si="2"/>
        <v>5020399000</v>
      </c>
      <c r="B126" s="82" t="s">
        <v>1815</v>
      </c>
      <c r="C126" s="92" t="s">
        <v>209</v>
      </c>
      <c r="D126" s="99" t="s">
        <v>1858</v>
      </c>
      <c r="E126" s="94" t="s">
        <v>109</v>
      </c>
      <c r="F126" s="70">
        <v>46023</v>
      </c>
      <c r="G126" s="70"/>
      <c r="H126" s="14"/>
      <c r="I126" s="70">
        <v>46357</v>
      </c>
      <c r="J126" s="95" t="s">
        <v>83</v>
      </c>
      <c r="K126" s="72">
        <v>113340</v>
      </c>
      <c r="L126" s="72">
        <v>113340</v>
      </c>
      <c r="M126" s="93"/>
      <c r="N126" s="96"/>
    </row>
    <row r="127" spans="1:14" s="83" customFormat="1" ht="25.5">
      <c r="A127" s="67" t="str">
        <f t="shared" si="2"/>
        <v>5020399000</v>
      </c>
      <c r="B127" s="82" t="s">
        <v>1816</v>
      </c>
      <c r="C127" s="92" t="s">
        <v>209</v>
      </c>
      <c r="D127" s="99" t="s">
        <v>1858</v>
      </c>
      <c r="E127" s="94" t="s">
        <v>109</v>
      </c>
      <c r="F127" s="70">
        <v>46023</v>
      </c>
      <c r="G127" s="70"/>
      <c r="H127" s="14"/>
      <c r="I127" s="70">
        <v>46357</v>
      </c>
      <c r="J127" s="95" t="s">
        <v>83</v>
      </c>
      <c r="K127" s="72">
        <v>4930</v>
      </c>
      <c r="L127" s="72">
        <v>4930</v>
      </c>
      <c r="M127" s="93"/>
      <c r="N127" s="96"/>
    </row>
    <row r="128" spans="1:14" s="83" customFormat="1" ht="25.5">
      <c r="A128" s="67" t="str">
        <f t="shared" si="2"/>
        <v>5020399000</v>
      </c>
      <c r="B128" s="82" t="s">
        <v>1817</v>
      </c>
      <c r="C128" s="92" t="s">
        <v>209</v>
      </c>
      <c r="D128" s="99" t="s">
        <v>1858</v>
      </c>
      <c r="E128" s="94" t="s">
        <v>109</v>
      </c>
      <c r="F128" s="70">
        <v>46023</v>
      </c>
      <c r="G128" s="70"/>
      <c r="H128" s="14"/>
      <c r="I128" s="70">
        <v>46357</v>
      </c>
      <c r="J128" s="95" t="s">
        <v>83</v>
      </c>
      <c r="K128" s="72">
        <v>9350</v>
      </c>
      <c r="L128" s="72">
        <v>9350</v>
      </c>
      <c r="M128" s="93"/>
      <c r="N128" s="96"/>
    </row>
    <row r="129" spans="1:14" s="83" customFormat="1" ht="25.5">
      <c r="A129" s="67" t="str">
        <f t="shared" si="2"/>
        <v>5020310000</v>
      </c>
      <c r="B129" s="82" t="s">
        <v>1818</v>
      </c>
      <c r="C129" s="111" t="s">
        <v>162</v>
      </c>
      <c r="D129" s="99" t="s">
        <v>1858</v>
      </c>
      <c r="E129" s="94" t="s">
        <v>109</v>
      </c>
      <c r="F129" s="70">
        <v>46023</v>
      </c>
      <c r="G129" s="70"/>
      <c r="H129" s="14"/>
      <c r="I129" s="70">
        <v>46357</v>
      </c>
      <c r="J129" s="95" t="s">
        <v>83</v>
      </c>
      <c r="K129" s="72">
        <v>234000</v>
      </c>
      <c r="L129" s="72">
        <v>234000</v>
      </c>
      <c r="M129" s="93"/>
      <c r="N129" s="96"/>
    </row>
    <row r="130" spans="1:14" s="83" customFormat="1" ht="25.5">
      <c r="A130" s="67" t="str">
        <f t="shared" si="2"/>
        <v>5020399000</v>
      </c>
      <c r="B130" s="82" t="s">
        <v>1819</v>
      </c>
      <c r="C130" s="92" t="s">
        <v>209</v>
      </c>
      <c r="D130" s="99" t="s">
        <v>1858</v>
      </c>
      <c r="E130" s="94" t="s">
        <v>109</v>
      </c>
      <c r="F130" s="70">
        <v>46023</v>
      </c>
      <c r="G130" s="70"/>
      <c r="H130" s="14"/>
      <c r="I130" s="70">
        <v>46357</v>
      </c>
      <c r="J130" s="95" t="s">
        <v>83</v>
      </c>
      <c r="K130" s="72">
        <v>23000</v>
      </c>
      <c r="L130" s="72">
        <v>23000</v>
      </c>
      <c r="M130" s="93"/>
      <c r="N130" s="96"/>
    </row>
    <row r="131" spans="1:14" s="83" customFormat="1" ht="25.5">
      <c r="A131" s="67" t="str">
        <f t="shared" si="2"/>
        <v>5020399000</v>
      </c>
      <c r="B131" s="82" t="s">
        <v>1820</v>
      </c>
      <c r="C131" s="92" t="s">
        <v>209</v>
      </c>
      <c r="D131" s="99" t="s">
        <v>1858</v>
      </c>
      <c r="E131" s="94" t="s">
        <v>74</v>
      </c>
      <c r="F131" s="70">
        <v>46023</v>
      </c>
      <c r="G131" s="70"/>
      <c r="H131" s="14"/>
      <c r="I131" s="70">
        <v>46357</v>
      </c>
      <c r="J131" s="95" t="s">
        <v>83</v>
      </c>
      <c r="K131" s="72">
        <v>55000</v>
      </c>
      <c r="L131" s="72">
        <v>55000</v>
      </c>
      <c r="M131" s="93"/>
      <c r="N131" s="96"/>
    </row>
    <row r="132" spans="1:14" s="83" customFormat="1" ht="38.25">
      <c r="A132" s="67" t="str">
        <f t="shared" si="2"/>
        <v>5020399000</v>
      </c>
      <c r="B132" s="82" t="s">
        <v>1821</v>
      </c>
      <c r="C132" s="92" t="s">
        <v>209</v>
      </c>
      <c r="D132" s="99" t="s">
        <v>1858</v>
      </c>
      <c r="E132" s="94" t="s">
        <v>74</v>
      </c>
      <c r="F132" s="70">
        <v>46023</v>
      </c>
      <c r="G132" s="70"/>
      <c r="H132" s="14"/>
      <c r="I132" s="70">
        <v>46357</v>
      </c>
      <c r="J132" s="95" t="s">
        <v>83</v>
      </c>
      <c r="K132" s="72">
        <v>313000</v>
      </c>
      <c r="L132" s="72">
        <v>313000</v>
      </c>
      <c r="M132" s="93"/>
      <c r="N132" s="96"/>
    </row>
    <row r="133" spans="1:14" s="83" customFormat="1" ht="25.5">
      <c r="A133" s="67" t="str">
        <f t="shared" si="2"/>
        <v>5020399000</v>
      </c>
      <c r="B133" s="82" t="s">
        <v>1822</v>
      </c>
      <c r="C133" s="92" t="s">
        <v>209</v>
      </c>
      <c r="D133" s="99" t="s">
        <v>1858</v>
      </c>
      <c r="E133" s="94" t="s">
        <v>74</v>
      </c>
      <c r="F133" s="70">
        <v>46023</v>
      </c>
      <c r="G133" s="70"/>
      <c r="H133" s="14"/>
      <c r="I133" s="70">
        <v>46357</v>
      </c>
      <c r="J133" s="95" t="s">
        <v>83</v>
      </c>
      <c r="K133" s="72">
        <v>15000</v>
      </c>
      <c r="L133" s="72">
        <v>15000</v>
      </c>
      <c r="M133" s="93"/>
      <c r="N133" s="96"/>
    </row>
    <row r="134" spans="1:14" s="83" customFormat="1" ht="25.5">
      <c r="A134" s="67" t="str">
        <f t="shared" si="2"/>
        <v>5020301000</v>
      </c>
      <c r="B134" s="82" t="s">
        <v>1823</v>
      </c>
      <c r="C134" s="92" t="s">
        <v>140</v>
      </c>
      <c r="D134" s="99" t="s">
        <v>1858</v>
      </c>
      <c r="E134" s="94" t="s">
        <v>109</v>
      </c>
      <c r="F134" s="70">
        <v>46023</v>
      </c>
      <c r="G134" s="70"/>
      <c r="H134" s="14"/>
      <c r="I134" s="70">
        <v>46357</v>
      </c>
      <c r="J134" s="95" t="s">
        <v>83</v>
      </c>
      <c r="K134" s="72">
        <v>39477.199999999997</v>
      </c>
      <c r="L134" s="72">
        <v>39477.199999999997</v>
      </c>
      <c r="M134" s="93"/>
      <c r="N134" s="96"/>
    </row>
    <row r="135" spans="1:14" s="83" customFormat="1" ht="25.5">
      <c r="A135" s="67" t="str">
        <f t="shared" ref="A135:A198" si="3">C135</f>
        <v>5029907000</v>
      </c>
      <c r="B135" s="82" t="s">
        <v>1824</v>
      </c>
      <c r="C135" s="92" t="s">
        <v>540</v>
      </c>
      <c r="D135" s="99" t="s">
        <v>1858</v>
      </c>
      <c r="E135" s="94" t="s">
        <v>80</v>
      </c>
      <c r="F135" s="70">
        <v>46023</v>
      </c>
      <c r="G135" s="70"/>
      <c r="H135" s="14"/>
      <c r="I135" s="70">
        <v>46357</v>
      </c>
      <c r="J135" s="95" t="s">
        <v>83</v>
      </c>
      <c r="K135" s="72">
        <v>2300000</v>
      </c>
      <c r="L135" s="72">
        <v>2300000</v>
      </c>
      <c r="M135" s="93"/>
      <c r="N135" s="96"/>
    </row>
    <row r="136" spans="1:14" s="83" customFormat="1" ht="25.5">
      <c r="A136" s="67" t="str">
        <f t="shared" si="3"/>
        <v>5020399000</v>
      </c>
      <c r="B136" s="82" t="s">
        <v>1825</v>
      </c>
      <c r="C136" s="92" t="s">
        <v>209</v>
      </c>
      <c r="D136" s="99" t="s">
        <v>1858</v>
      </c>
      <c r="E136" s="94" t="s">
        <v>109</v>
      </c>
      <c r="F136" s="70">
        <v>46023</v>
      </c>
      <c r="G136" s="70"/>
      <c r="H136" s="14"/>
      <c r="I136" s="70">
        <v>46357</v>
      </c>
      <c r="J136" s="95" t="s">
        <v>83</v>
      </c>
      <c r="K136" s="72">
        <v>6000</v>
      </c>
      <c r="L136" s="72">
        <v>6000</v>
      </c>
      <c r="M136" s="93"/>
      <c r="N136" s="96"/>
    </row>
    <row r="137" spans="1:14" s="83" customFormat="1" ht="25.5">
      <c r="A137" s="67" t="str">
        <f t="shared" si="3"/>
        <v>5020301000</v>
      </c>
      <c r="B137" s="82" t="s">
        <v>1826</v>
      </c>
      <c r="C137" s="92" t="s">
        <v>140</v>
      </c>
      <c r="D137" s="99" t="s">
        <v>1858</v>
      </c>
      <c r="E137" s="94" t="s">
        <v>74</v>
      </c>
      <c r="F137" s="70">
        <v>46023</v>
      </c>
      <c r="G137" s="70"/>
      <c r="H137" s="14"/>
      <c r="I137" s="70">
        <v>46357</v>
      </c>
      <c r="J137" s="95" t="s">
        <v>83</v>
      </c>
      <c r="K137" s="72">
        <v>3009573.2</v>
      </c>
      <c r="L137" s="72">
        <v>3009573.2</v>
      </c>
      <c r="M137" s="93"/>
      <c r="N137" s="96"/>
    </row>
    <row r="138" spans="1:14" s="83" customFormat="1" ht="25.5">
      <c r="A138" s="67" t="str">
        <f t="shared" si="3"/>
        <v>5020399000</v>
      </c>
      <c r="B138" s="82" t="s">
        <v>1827</v>
      </c>
      <c r="C138" s="92" t="s">
        <v>209</v>
      </c>
      <c r="D138" s="99" t="s">
        <v>1858</v>
      </c>
      <c r="E138" s="94" t="s">
        <v>74</v>
      </c>
      <c r="F138" s="70">
        <v>46023</v>
      </c>
      <c r="G138" s="70"/>
      <c r="H138" s="14"/>
      <c r="I138" s="70">
        <v>46357</v>
      </c>
      <c r="J138" s="95" t="s">
        <v>83</v>
      </c>
      <c r="K138" s="72">
        <v>19500</v>
      </c>
      <c r="L138" s="72">
        <v>19500</v>
      </c>
      <c r="M138" s="93"/>
      <c r="N138" s="96"/>
    </row>
    <row r="139" spans="1:14" s="83" customFormat="1" ht="25.5">
      <c r="A139" s="67" t="str">
        <f t="shared" si="3"/>
        <v>5020399000</v>
      </c>
      <c r="B139" s="82" t="s">
        <v>1828</v>
      </c>
      <c r="C139" s="92" t="s">
        <v>209</v>
      </c>
      <c r="D139" s="99" t="s">
        <v>1858</v>
      </c>
      <c r="E139" s="94" t="s">
        <v>109</v>
      </c>
      <c r="F139" s="70">
        <v>46023</v>
      </c>
      <c r="G139" s="70"/>
      <c r="H139" s="14"/>
      <c r="I139" s="70">
        <v>46357</v>
      </c>
      <c r="J139" s="95" t="s">
        <v>83</v>
      </c>
      <c r="K139" s="72">
        <v>17784</v>
      </c>
      <c r="L139" s="72">
        <v>17784</v>
      </c>
      <c r="M139" s="93"/>
      <c r="N139" s="96"/>
    </row>
    <row r="140" spans="1:14" s="83" customFormat="1" ht="25.5">
      <c r="A140" s="67" t="str">
        <f t="shared" si="3"/>
        <v>5020399000</v>
      </c>
      <c r="B140" s="82" t="s">
        <v>1829</v>
      </c>
      <c r="C140" s="92" t="s">
        <v>209</v>
      </c>
      <c r="D140" s="99" t="s">
        <v>1858</v>
      </c>
      <c r="E140" s="94" t="s">
        <v>74</v>
      </c>
      <c r="F140" s="70">
        <v>46023</v>
      </c>
      <c r="G140" s="70"/>
      <c r="H140" s="14"/>
      <c r="I140" s="70">
        <v>46357</v>
      </c>
      <c r="J140" s="95" t="s">
        <v>83</v>
      </c>
      <c r="K140" s="72">
        <f>178500</f>
        <v>178500</v>
      </c>
      <c r="L140" s="72">
        <f>178500</f>
        <v>178500</v>
      </c>
      <c r="M140" s="93"/>
      <c r="N140" s="96"/>
    </row>
    <row r="141" spans="1:14" s="83" customFormat="1" ht="25.5">
      <c r="A141" s="67" t="str">
        <f t="shared" si="3"/>
        <v>5020399000</v>
      </c>
      <c r="B141" s="82" t="s">
        <v>1830</v>
      </c>
      <c r="C141" s="92" t="s">
        <v>209</v>
      </c>
      <c r="D141" s="99" t="s">
        <v>1858</v>
      </c>
      <c r="E141" s="94" t="s">
        <v>74</v>
      </c>
      <c r="F141" s="70">
        <v>46023</v>
      </c>
      <c r="G141" s="70"/>
      <c r="H141" s="14"/>
      <c r="I141" s="70">
        <v>46357</v>
      </c>
      <c r="J141" s="95" t="s">
        <v>83</v>
      </c>
      <c r="K141" s="72">
        <v>2260000</v>
      </c>
      <c r="L141" s="72">
        <v>2260000</v>
      </c>
      <c r="M141" s="93"/>
      <c r="N141" s="96"/>
    </row>
    <row r="142" spans="1:14" s="83" customFormat="1" ht="25.5">
      <c r="A142" s="67" t="str">
        <f t="shared" si="3"/>
        <v>5020399000</v>
      </c>
      <c r="B142" s="82" t="s">
        <v>1831</v>
      </c>
      <c r="C142" s="92" t="s">
        <v>209</v>
      </c>
      <c r="D142" s="99" t="s">
        <v>1858</v>
      </c>
      <c r="E142" s="94" t="s">
        <v>74</v>
      </c>
      <c r="F142" s="70">
        <v>46023</v>
      </c>
      <c r="G142" s="70"/>
      <c r="H142" s="14"/>
      <c r="I142" s="70">
        <v>46357</v>
      </c>
      <c r="J142" s="95" t="s">
        <v>83</v>
      </c>
      <c r="K142" s="72">
        <v>2689688</v>
      </c>
      <c r="L142" s="72">
        <v>2689688</v>
      </c>
      <c r="M142" s="93"/>
      <c r="N142" s="96"/>
    </row>
    <row r="143" spans="1:14" s="83" customFormat="1" ht="25.5">
      <c r="A143" s="67" t="str">
        <f t="shared" si="3"/>
        <v>5021304000</v>
      </c>
      <c r="B143" s="82" t="s">
        <v>1832</v>
      </c>
      <c r="C143" s="92" t="s">
        <v>332</v>
      </c>
      <c r="D143" s="99" t="s">
        <v>1858</v>
      </c>
      <c r="E143" s="94" t="s">
        <v>109</v>
      </c>
      <c r="F143" s="70">
        <v>46023</v>
      </c>
      <c r="G143" s="70"/>
      <c r="H143" s="14"/>
      <c r="I143" s="70">
        <v>46357</v>
      </c>
      <c r="J143" s="95" t="s">
        <v>83</v>
      </c>
      <c r="K143" s="72">
        <v>100000</v>
      </c>
      <c r="L143" s="72">
        <v>100000</v>
      </c>
      <c r="M143" s="93"/>
      <c r="N143" s="96"/>
    </row>
    <row r="144" spans="1:14" s="83" customFormat="1" ht="25.5">
      <c r="A144" s="67" t="str">
        <f t="shared" si="3"/>
        <v>5020399000</v>
      </c>
      <c r="B144" s="82" t="s">
        <v>1833</v>
      </c>
      <c r="C144" s="92" t="s">
        <v>209</v>
      </c>
      <c r="D144" s="99" t="s">
        <v>1858</v>
      </c>
      <c r="E144" s="94" t="s">
        <v>109</v>
      </c>
      <c r="F144" s="70">
        <v>46023</v>
      </c>
      <c r="G144" s="70"/>
      <c r="H144" s="14"/>
      <c r="I144" s="70">
        <v>46357</v>
      </c>
      <c r="J144" s="95" t="s">
        <v>83</v>
      </c>
      <c r="K144" s="72">
        <v>45000</v>
      </c>
      <c r="L144" s="72">
        <v>45000</v>
      </c>
      <c r="M144" s="93"/>
      <c r="N144" s="96"/>
    </row>
    <row r="145" spans="1:14" s="83" customFormat="1" ht="25.5">
      <c r="A145" s="67" t="str">
        <f t="shared" si="3"/>
        <v>5020399000</v>
      </c>
      <c r="B145" s="82" t="s">
        <v>1834</v>
      </c>
      <c r="C145" s="92" t="s">
        <v>209</v>
      </c>
      <c r="D145" s="99" t="s">
        <v>1858</v>
      </c>
      <c r="E145" s="94" t="s">
        <v>109</v>
      </c>
      <c r="F145" s="70">
        <v>46023</v>
      </c>
      <c r="G145" s="70"/>
      <c r="H145" s="14"/>
      <c r="I145" s="70">
        <v>46357</v>
      </c>
      <c r="J145" s="95" t="s">
        <v>83</v>
      </c>
      <c r="K145" s="72">
        <v>10842.1</v>
      </c>
      <c r="L145" s="72">
        <v>10842.1</v>
      </c>
      <c r="M145" s="93"/>
      <c r="N145" s="96"/>
    </row>
    <row r="146" spans="1:14" s="83" customFormat="1" ht="25.5">
      <c r="A146" s="67" t="str">
        <f t="shared" si="3"/>
        <v>5020399000</v>
      </c>
      <c r="B146" s="82" t="s">
        <v>1835</v>
      </c>
      <c r="C146" s="92" t="s">
        <v>209</v>
      </c>
      <c r="D146" s="99" t="s">
        <v>1858</v>
      </c>
      <c r="E146" s="94" t="s">
        <v>74</v>
      </c>
      <c r="F146" s="70">
        <v>46023</v>
      </c>
      <c r="G146" s="70"/>
      <c r="H146" s="14"/>
      <c r="I146" s="70">
        <v>46357</v>
      </c>
      <c r="J146" s="95" t="s">
        <v>83</v>
      </c>
      <c r="K146" s="72">
        <v>124000</v>
      </c>
      <c r="L146" s="72">
        <v>124000</v>
      </c>
      <c r="M146" s="93"/>
      <c r="N146" s="96"/>
    </row>
    <row r="147" spans="1:14" s="83" customFormat="1" ht="25.5">
      <c r="A147" s="67" t="str">
        <f t="shared" si="3"/>
        <v>5020301000</v>
      </c>
      <c r="B147" s="82" t="s">
        <v>1836</v>
      </c>
      <c r="C147" s="92" t="s">
        <v>140</v>
      </c>
      <c r="D147" s="99" t="s">
        <v>1858</v>
      </c>
      <c r="E147" s="94" t="s">
        <v>109</v>
      </c>
      <c r="F147" s="70">
        <v>46023</v>
      </c>
      <c r="G147" s="70"/>
      <c r="H147" s="14"/>
      <c r="I147" s="70">
        <v>46357</v>
      </c>
      <c r="J147" s="95" t="s">
        <v>83</v>
      </c>
      <c r="K147" s="72">
        <v>25284.5</v>
      </c>
      <c r="L147" s="72">
        <v>25284.5</v>
      </c>
      <c r="M147" s="93"/>
      <c r="N147" s="96"/>
    </row>
    <row r="148" spans="1:14" s="83" customFormat="1" ht="25.5">
      <c r="A148" s="67" t="str">
        <f t="shared" si="3"/>
        <v>5020399000</v>
      </c>
      <c r="B148" s="82" t="s">
        <v>1837</v>
      </c>
      <c r="C148" s="92" t="s">
        <v>209</v>
      </c>
      <c r="D148" s="99" t="s">
        <v>1858</v>
      </c>
      <c r="E148" s="94" t="s">
        <v>74</v>
      </c>
      <c r="F148" s="70">
        <v>46023</v>
      </c>
      <c r="G148" s="70"/>
      <c r="H148" s="14"/>
      <c r="I148" s="70">
        <v>46357</v>
      </c>
      <c r="J148" s="95" t="s">
        <v>83</v>
      </c>
      <c r="K148" s="72">
        <v>774000</v>
      </c>
      <c r="L148" s="72">
        <v>774000</v>
      </c>
      <c r="M148" s="93"/>
      <c r="N148" s="96"/>
    </row>
    <row r="149" spans="1:14" s="83" customFormat="1" ht="25.5">
      <c r="A149" s="67" t="str">
        <f t="shared" si="3"/>
        <v>5020399000</v>
      </c>
      <c r="B149" s="82" t="s">
        <v>1838</v>
      </c>
      <c r="C149" s="92" t="s">
        <v>209</v>
      </c>
      <c r="D149" s="99" t="s">
        <v>1858</v>
      </c>
      <c r="E149" s="94" t="s">
        <v>109</v>
      </c>
      <c r="F149" s="70">
        <v>46023</v>
      </c>
      <c r="G149" s="70"/>
      <c r="H149" s="14"/>
      <c r="I149" s="70">
        <v>46357</v>
      </c>
      <c r="J149" s="95" t="s">
        <v>83</v>
      </c>
      <c r="K149" s="72">
        <v>109000</v>
      </c>
      <c r="L149" s="72">
        <v>109000</v>
      </c>
      <c r="M149" s="93"/>
      <c r="N149" s="96"/>
    </row>
    <row r="150" spans="1:14" s="83" customFormat="1" ht="25.5">
      <c r="A150" s="67" t="str">
        <f t="shared" si="3"/>
        <v>5020301000</v>
      </c>
      <c r="B150" s="82" t="s">
        <v>1839</v>
      </c>
      <c r="C150" s="92" t="s">
        <v>140</v>
      </c>
      <c r="D150" s="99" t="s">
        <v>1858</v>
      </c>
      <c r="E150" s="94" t="s">
        <v>109</v>
      </c>
      <c r="F150" s="70">
        <v>46023</v>
      </c>
      <c r="G150" s="70"/>
      <c r="H150" s="14"/>
      <c r="I150" s="70">
        <v>46357</v>
      </c>
      <c r="J150" s="95" t="s">
        <v>83</v>
      </c>
      <c r="K150" s="72">
        <v>23819</v>
      </c>
      <c r="L150" s="72">
        <v>23819</v>
      </c>
      <c r="M150" s="93"/>
      <c r="N150" s="96"/>
    </row>
    <row r="151" spans="1:14" s="83" customFormat="1" ht="38.25">
      <c r="A151" s="67" t="str">
        <f t="shared" si="3"/>
        <v>5020399000</v>
      </c>
      <c r="B151" s="82" t="s">
        <v>1840</v>
      </c>
      <c r="C151" s="92" t="s">
        <v>209</v>
      </c>
      <c r="D151" s="99" t="s">
        <v>1858</v>
      </c>
      <c r="E151" s="94" t="s">
        <v>74</v>
      </c>
      <c r="F151" s="70">
        <v>46023</v>
      </c>
      <c r="G151" s="70"/>
      <c r="H151" s="14"/>
      <c r="I151" s="70">
        <v>46357</v>
      </c>
      <c r="J151" s="95" t="s">
        <v>83</v>
      </c>
      <c r="K151" s="72">
        <v>45594</v>
      </c>
      <c r="L151" s="72">
        <v>45594</v>
      </c>
      <c r="M151" s="93"/>
      <c r="N151" s="96"/>
    </row>
    <row r="152" spans="1:14" s="83" customFormat="1" ht="25.5">
      <c r="A152" s="67" t="str">
        <f t="shared" si="3"/>
        <v>5020399000</v>
      </c>
      <c r="B152" s="82" t="s">
        <v>1841</v>
      </c>
      <c r="C152" s="92" t="s">
        <v>209</v>
      </c>
      <c r="D152" s="99" t="s">
        <v>1858</v>
      </c>
      <c r="E152" s="94" t="s">
        <v>109</v>
      </c>
      <c r="F152" s="70">
        <v>46023</v>
      </c>
      <c r="G152" s="70"/>
      <c r="H152" s="14"/>
      <c r="I152" s="70">
        <v>46357</v>
      </c>
      <c r="J152" s="95" t="s">
        <v>83</v>
      </c>
      <c r="K152" s="72">
        <v>8280</v>
      </c>
      <c r="L152" s="72">
        <v>8280</v>
      </c>
      <c r="M152" s="93"/>
      <c r="N152" s="96"/>
    </row>
    <row r="153" spans="1:14" s="83" customFormat="1" ht="25.5">
      <c r="A153" s="67" t="str">
        <f t="shared" si="3"/>
        <v>5020321002</v>
      </c>
      <c r="B153" s="82" t="s">
        <v>1842</v>
      </c>
      <c r="C153" s="92" t="s">
        <v>177</v>
      </c>
      <c r="D153" s="99" t="s">
        <v>1858</v>
      </c>
      <c r="E153" s="94" t="s">
        <v>74</v>
      </c>
      <c r="F153" s="70">
        <v>46023</v>
      </c>
      <c r="G153" s="70"/>
      <c r="H153" s="14"/>
      <c r="I153" s="70">
        <v>46357</v>
      </c>
      <c r="J153" s="95" t="s">
        <v>83</v>
      </c>
      <c r="K153" s="72">
        <v>54479</v>
      </c>
      <c r="L153" s="72">
        <v>54479</v>
      </c>
      <c r="M153" s="93"/>
      <c r="N153" s="96"/>
    </row>
    <row r="154" spans="1:14" s="83" customFormat="1" ht="25.5">
      <c r="A154" s="67" t="str">
        <f t="shared" si="3"/>
        <v>5020399000</v>
      </c>
      <c r="B154" s="82" t="s">
        <v>1843</v>
      </c>
      <c r="C154" s="92" t="s">
        <v>209</v>
      </c>
      <c r="D154" s="99" t="s">
        <v>1858</v>
      </c>
      <c r="E154" s="94" t="s">
        <v>74</v>
      </c>
      <c r="F154" s="70">
        <v>46023</v>
      </c>
      <c r="G154" s="70"/>
      <c r="H154" s="14"/>
      <c r="I154" s="70">
        <v>46357</v>
      </c>
      <c r="J154" s="95" t="s">
        <v>83</v>
      </c>
      <c r="K154" s="72">
        <v>203200</v>
      </c>
      <c r="L154" s="72">
        <v>203200</v>
      </c>
      <c r="M154" s="93"/>
      <c r="N154" s="96"/>
    </row>
    <row r="155" spans="1:14" s="83" customFormat="1" ht="25.5">
      <c r="A155" s="67" t="str">
        <f t="shared" si="3"/>
        <v>5020399000</v>
      </c>
      <c r="B155" s="82" t="s">
        <v>1844</v>
      </c>
      <c r="C155" s="92" t="s">
        <v>209</v>
      </c>
      <c r="D155" s="99" t="s">
        <v>1858</v>
      </c>
      <c r="E155" s="94" t="s">
        <v>74</v>
      </c>
      <c r="F155" s="70">
        <v>46023</v>
      </c>
      <c r="G155" s="70"/>
      <c r="H155" s="14"/>
      <c r="I155" s="70">
        <v>46357</v>
      </c>
      <c r="J155" s="95" t="s">
        <v>83</v>
      </c>
      <c r="K155" s="72">
        <v>186690</v>
      </c>
      <c r="L155" s="72">
        <v>186690</v>
      </c>
      <c r="M155" s="93"/>
      <c r="N155" s="96"/>
    </row>
    <row r="156" spans="1:14" s="83" customFormat="1" ht="25.5">
      <c r="A156" s="67" t="str">
        <f t="shared" si="3"/>
        <v>5020399000</v>
      </c>
      <c r="B156" s="82" t="s">
        <v>1845</v>
      </c>
      <c r="C156" s="92" t="s">
        <v>209</v>
      </c>
      <c r="D156" s="99" t="s">
        <v>1858</v>
      </c>
      <c r="E156" s="94" t="s">
        <v>74</v>
      </c>
      <c r="F156" s="70">
        <v>46023</v>
      </c>
      <c r="G156" s="70"/>
      <c r="H156" s="14"/>
      <c r="I156" s="70">
        <v>46357</v>
      </c>
      <c r="J156" s="95" t="s">
        <v>83</v>
      </c>
      <c r="K156" s="72">
        <v>107124</v>
      </c>
      <c r="L156" s="72">
        <v>107124</v>
      </c>
      <c r="M156" s="93"/>
      <c r="N156" s="96"/>
    </row>
    <row r="157" spans="1:14" s="83" customFormat="1" ht="25.5">
      <c r="A157" s="67" t="str">
        <f t="shared" si="3"/>
        <v>5020399000</v>
      </c>
      <c r="B157" s="82" t="s">
        <v>1846</v>
      </c>
      <c r="C157" s="92" t="s">
        <v>209</v>
      </c>
      <c r="D157" s="99" t="s">
        <v>1858</v>
      </c>
      <c r="E157" s="94" t="s">
        <v>109</v>
      </c>
      <c r="F157" s="70">
        <v>46023</v>
      </c>
      <c r="G157" s="70"/>
      <c r="H157" s="14"/>
      <c r="I157" s="70">
        <v>46357</v>
      </c>
      <c r="J157" s="95" t="s">
        <v>83</v>
      </c>
      <c r="K157" s="106">
        <v>46440</v>
      </c>
      <c r="L157" s="106">
        <v>46440</v>
      </c>
      <c r="M157" s="93"/>
      <c r="N157" s="96"/>
    </row>
    <row r="158" spans="1:14" s="83" customFormat="1" ht="25.5">
      <c r="A158" s="67" t="str">
        <f t="shared" si="3"/>
        <v>5020399000</v>
      </c>
      <c r="B158" s="82" t="s">
        <v>1847</v>
      </c>
      <c r="C158" s="92" t="s">
        <v>209</v>
      </c>
      <c r="D158" s="99" t="s">
        <v>1858</v>
      </c>
      <c r="E158" s="94" t="s">
        <v>109</v>
      </c>
      <c r="F158" s="70">
        <v>46023</v>
      </c>
      <c r="G158" s="70"/>
      <c r="H158" s="14"/>
      <c r="I158" s="70">
        <v>46357</v>
      </c>
      <c r="J158" s="95" t="s">
        <v>83</v>
      </c>
      <c r="K158" s="106">
        <v>76527.899999999994</v>
      </c>
      <c r="L158" s="106">
        <v>76527.899999999994</v>
      </c>
      <c r="M158" s="93"/>
      <c r="N158" s="96"/>
    </row>
    <row r="159" spans="1:14" s="83" customFormat="1" ht="25.5">
      <c r="A159" s="67" t="str">
        <f t="shared" si="3"/>
        <v>5020399000</v>
      </c>
      <c r="B159" s="82" t="s">
        <v>1848</v>
      </c>
      <c r="C159" s="92" t="s">
        <v>209</v>
      </c>
      <c r="D159" s="99" t="s">
        <v>1858</v>
      </c>
      <c r="E159" s="94" t="s">
        <v>109</v>
      </c>
      <c r="F159" s="70">
        <v>46023</v>
      </c>
      <c r="G159" s="70"/>
      <c r="H159" s="14"/>
      <c r="I159" s="70">
        <v>46357</v>
      </c>
      <c r="J159" s="95" t="s">
        <v>83</v>
      </c>
      <c r="K159" s="106">
        <v>27457.599999999999</v>
      </c>
      <c r="L159" s="106">
        <v>27457.599999999999</v>
      </c>
      <c r="M159" s="93"/>
      <c r="N159" s="96"/>
    </row>
    <row r="160" spans="1:14" s="83" customFormat="1" ht="25.5">
      <c r="A160" s="67" t="str">
        <f t="shared" si="3"/>
        <v>5020301000</v>
      </c>
      <c r="B160" s="82" t="s">
        <v>1849</v>
      </c>
      <c r="C160" s="92" t="s">
        <v>140</v>
      </c>
      <c r="D160" s="99" t="s">
        <v>1858</v>
      </c>
      <c r="E160" s="94" t="s">
        <v>109</v>
      </c>
      <c r="F160" s="70">
        <v>46023</v>
      </c>
      <c r="G160" s="70"/>
      <c r="H160" s="14"/>
      <c r="I160" s="70">
        <v>46357</v>
      </c>
      <c r="J160" s="95" t="s">
        <v>83</v>
      </c>
      <c r="K160" s="106">
        <v>82924.149999999994</v>
      </c>
      <c r="L160" s="106">
        <v>82924.149999999994</v>
      </c>
      <c r="M160" s="93"/>
      <c r="N160" s="96"/>
    </row>
    <row r="161" spans="1:14" s="83" customFormat="1" ht="25.5">
      <c r="A161" s="67" t="str">
        <f t="shared" si="3"/>
        <v>5020399000</v>
      </c>
      <c r="B161" s="82" t="s">
        <v>1850</v>
      </c>
      <c r="C161" s="92" t="s">
        <v>209</v>
      </c>
      <c r="D161" s="99" t="s">
        <v>1858</v>
      </c>
      <c r="E161" s="94" t="s">
        <v>109</v>
      </c>
      <c r="F161" s="70">
        <v>46023</v>
      </c>
      <c r="G161" s="70"/>
      <c r="H161" s="14"/>
      <c r="I161" s="70">
        <v>46357</v>
      </c>
      <c r="J161" s="95" t="s">
        <v>83</v>
      </c>
      <c r="K161" s="106">
        <v>300000</v>
      </c>
      <c r="L161" s="106">
        <v>300000</v>
      </c>
      <c r="M161" s="93"/>
      <c r="N161" s="96"/>
    </row>
    <row r="162" spans="1:14" s="83" customFormat="1" ht="25.5">
      <c r="A162" s="67" t="str">
        <f t="shared" si="3"/>
        <v>5020399000</v>
      </c>
      <c r="B162" s="82" t="s">
        <v>1851</v>
      </c>
      <c r="C162" s="92" t="s">
        <v>209</v>
      </c>
      <c r="D162" s="99" t="s">
        <v>1858</v>
      </c>
      <c r="E162" s="94" t="s">
        <v>108</v>
      </c>
      <c r="F162" s="70">
        <v>46023</v>
      </c>
      <c r="G162" s="70"/>
      <c r="H162" s="14"/>
      <c r="I162" s="70">
        <v>46357</v>
      </c>
      <c r="J162" s="95" t="s">
        <v>83</v>
      </c>
      <c r="K162" s="106">
        <v>117000</v>
      </c>
      <c r="L162" s="106">
        <v>117000</v>
      </c>
      <c r="M162" s="93"/>
      <c r="N162" s="96"/>
    </row>
    <row r="163" spans="1:14" s="83" customFormat="1" ht="25.5">
      <c r="A163" s="67" t="str">
        <f t="shared" si="3"/>
        <v>5020399000</v>
      </c>
      <c r="B163" s="82" t="s">
        <v>1852</v>
      </c>
      <c r="C163" s="92" t="s">
        <v>209</v>
      </c>
      <c r="D163" s="99" t="s">
        <v>1858</v>
      </c>
      <c r="E163" s="94" t="s">
        <v>109</v>
      </c>
      <c r="F163" s="70">
        <v>46023</v>
      </c>
      <c r="G163" s="70"/>
      <c r="H163" s="14"/>
      <c r="I163" s="70">
        <v>46357</v>
      </c>
      <c r="J163" s="95" t="s">
        <v>83</v>
      </c>
      <c r="K163" s="106">
        <v>791038</v>
      </c>
      <c r="L163" s="106">
        <v>791038</v>
      </c>
      <c r="M163" s="93"/>
      <c r="N163" s="96"/>
    </row>
    <row r="164" spans="1:14" s="83" customFormat="1" ht="25.5">
      <c r="A164" s="67" t="str">
        <f t="shared" si="3"/>
        <v>5020301000</v>
      </c>
      <c r="B164" s="82" t="s">
        <v>1853</v>
      </c>
      <c r="C164" s="92" t="s">
        <v>140</v>
      </c>
      <c r="D164" s="99" t="s">
        <v>1858</v>
      </c>
      <c r="E164" s="94" t="s">
        <v>109</v>
      </c>
      <c r="F164" s="70">
        <v>46023</v>
      </c>
      <c r="G164" s="70"/>
      <c r="H164" s="14"/>
      <c r="I164" s="70">
        <v>46357</v>
      </c>
      <c r="J164" s="95" t="s">
        <v>83</v>
      </c>
      <c r="K164" s="106">
        <v>190000</v>
      </c>
      <c r="L164" s="106">
        <v>190000</v>
      </c>
      <c r="M164" s="93"/>
      <c r="N164" s="96"/>
    </row>
    <row r="165" spans="1:14" s="83" customFormat="1" ht="25.5">
      <c r="A165" s="67" t="str">
        <f t="shared" si="3"/>
        <v>5029907000</v>
      </c>
      <c r="B165" s="82" t="s">
        <v>1854</v>
      </c>
      <c r="C165" s="92" t="s">
        <v>540</v>
      </c>
      <c r="D165" s="99" t="s">
        <v>1858</v>
      </c>
      <c r="E165" s="94" t="s">
        <v>84</v>
      </c>
      <c r="F165" s="70">
        <v>46023</v>
      </c>
      <c r="G165" s="70"/>
      <c r="H165" s="14"/>
      <c r="I165" s="70">
        <v>46357</v>
      </c>
      <c r="J165" s="95" t="s">
        <v>83</v>
      </c>
      <c r="K165" s="106">
        <v>28000</v>
      </c>
      <c r="L165" s="106">
        <v>28000</v>
      </c>
      <c r="M165" s="93"/>
      <c r="N165" s="96"/>
    </row>
    <row r="166" spans="1:14" s="83" customFormat="1" ht="25.5">
      <c r="A166" s="67" t="str">
        <f t="shared" si="3"/>
        <v>5020321002</v>
      </c>
      <c r="B166" s="82" t="s">
        <v>1855</v>
      </c>
      <c r="C166" s="92" t="s">
        <v>177</v>
      </c>
      <c r="D166" s="99" t="s">
        <v>1858</v>
      </c>
      <c r="E166" s="94" t="s">
        <v>108</v>
      </c>
      <c r="F166" s="70">
        <v>46023</v>
      </c>
      <c r="G166" s="70"/>
      <c r="H166" s="14"/>
      <c r="I166" s="70">
        <v>46357</v>
      </c>
      <c r="J166" s="95" t="s">
        <v>83</v>
      </c>
      <c r="K166" s="106">
        <v>45348</v>
      </c>
      <c r="L166" s="106">
        <v>45348</v>
      </c>
      <c r="M166" s="93"/>
      <c r="N166" s="96"/>
    </row>
    <row r="167" spans="1:14" s="83" customFormat="1" ht="25.5">
      <c r="A167" s="67" t="str">
        <f t="shared" si="3"/>
        <v>5020399000</v>
      </c>
      <c r="B167" s="82" t="s">
        <v>1856</v>
      </c>
      <c r="C167" s="92" t="s">
        <v>209</v>
      </c>
      <c r="D167" s="99" t="s">
        <v>1858</v>
      </c>
      <c r="E167" s="94" t="s">
        <v>109</v>
      </c>
      <c r="F167" s="70">
        <v>46023</v>
      </c>
      <c r="G167" s="70"/>
      <c r="H167" s="14"/>
      <c r="I167" s="70">
        <v>46357</v>
      </c>
      <c r="J167" s="95" t="s">
        <v>83</v>
      </c>
      <c r="K167" s="106">
        <v>13740</v>
      </c>
      <c r="L167" s="106">
        <v>13740</v>
      </c>
      <c r="M167" s="93"/>
      <c r="N167" s="96"/>
    </row>
    <row r="168" spans="1:14" s="83" customFormat="1" ht="25.5">
      <c r="A168" s="67" t="str">
        <f t="shared" si="3"/>
        <v>5020301000</v>
      </c>
      <c r="B168" s="82" t="s">
        <v>1857</v>
      </c>
      <c r="C168" s="92" t="s">
        <v>140</v>
      </c>
      <c r="D168" s="99" t="s">
        <v>1858</v>
      </c>
      <c r="E168" s="94" t="s">
        <v>109</v>
      </c>
      <c r="F168" s="70">
        <v>46023</v>
      </c>
      <c r="G168" s="70"/>
      <c r="H168" s="14"/>
      <c r="I168" s="70">
        <v>46357</v>
      </c>
      <c r="J168" s="95" t="s">
        <v>83</v>
      </c>
      <c r="K168" s="106">
        <v>7515.92</v>
      </c>
      <c r="L168" s="106">
        <v>7515.92</v>
      </c>
      <c r="M168" s="93"/>
      <c r="N168" s="96"/>
    </row>
    <row r="169" spans="1:14" s="83" customFormat="1" ht="25.5">
      <c r="A169" s="67" t="str">
        <f t="shared" si="3"/>
        <v>5020310000</v>
      </c>
      <c r="B169" s="82" t="s">
        <v>1859</v>
      </c>
      <c r="C169" s="92" t="s">
        <v>162</v>
      </c>
      <c r="D169" s="99" t="s">
        <v>1858</v>
      </c>
      <c r="E169" s="94" t="s">
        <v>80</v>
      </c>
      <c r="F169" s="70">
        <v>46023</v>
      </c>
      <c r="G169" s="70"/>
      <c r="H169" s="14"/>
      <c r="I169" s="70">
        <v>46357</v>
      </c>
      <c r="J169" s="95" t="s">
        <v>83</v>
      </c>
      <c r="K169" s="107">
        <v>792200</v>
      </c>
      <c r="L169" s="107">
        <v>792200</v>
      </c>
      <c r="M169" s="93"/>
      <c r="N169" s="96"/>
    </row>
    <row r="170" spans="1:14" s="83" customFormat="1" ht="25.5">
      <c r="A170" s="67" t="str">
        <f t="shared" si="3"/>
        <v>5020305000</v>
      </c>
      <c r="B170" s="82" t="s">
        <v>1860</v>
      </c>
      <c r="C170" s="108" t="s">
        <v>151</v>
      </c>
      <c r="D170" s="99" t="s">
        <v>1858</v>
      </c>
      <c r="E170" s="94" t="s">
        <v>80</v>
      </c>
      <c r="F170" s="70">
        <v>46023</v>
      </c>
      <c r="G170" s="70"/>
      <c r="H170" s="14"/>
      <c r="I170" s="70">
        <v>46357</v>
      </c>
      <c r="J170" s="95" t="s">
        <v>83</v>
      </c>
      <c r="K170" s="106">
        <v>3393075</v>
      </c>
      <c r="L170" s="106">
        <v>3393075</v>
      </c>
      <c r="M170" s="93"/>
      <c r="N170" s="96"/>
    </row>
    <row r="171" spans="1:14" s="83" customFormat="1" ht="25.5">
      <c r="A171" s="67" t="str">
        <f t="shared" si="3"/>
        <v>5020399000</v>
      </c>
      <c r="B171" s="82" t="s">
        <v>1861</v>
      </c>
      <c r="C171" s="92" t="s">
        <v>209</v>
      </c>
      <c r="D171" s="99" t="s">
        <v>1858</v>
      </c>
      <c r="E171" s="94" t="s">
        <v>80</v>
      </c>
      <c r="F171" s="70">
        <v>46023</v>
      </c>
      <c r="G171" s="70"/>
      <c r="H171" s="14"/>
      <c r="I171" s="70">
        <v>46357</v>
      </c>
      <c r="J171" s="95" t="s">
        <v>83</v>
      </c>
      <c r="K171" s="106">
        <v>12000</v>
      </c>
      <c r="L171" s="106">
        <v>12000</v>
      </c>
      <c r="M171" s="93"/>
      <c r="N171" s="96"/>
    </row>
    <row r="172" spans="1:14" s="83" customFormat="1" ht="25.5">
      <c r="A172" s="67" t="str">
        <f t="shared" si="3"/>
        <v>5020399000</v>
      </c>
      <c r="B172" s="82" t="s">
        <v>1862</v>
      </c>
      <c r="C172" s="92" t="s">
        <v>209</v>
      </c>
      <c r="D172" s="99" t="s">
        <v>1858</v>
      </c>
      <c r="E172" s="94" t="s">
        <v>80</v>
      </c>
      <c r="F172" s="70">
        <v>46023</v>
      </c>
      <c r="G172" s="70"/>
      <c r="H172" s="14"/>
      <c r="I172" s="70">
        <v>46357</v>
      </c>
      <c r="J172" s="95" t="s">
        <v>83</v>
      </c>
      <c r="K172" s="106">
        <v>1026</v>
      </c>
      <c r="L172" s="106">
        <v>1026</v>
      </c>
      <c r="M172" s="93"/>
      <c r="N172" s="96"/>
    </row>
    <row r="173" spans="1:14" s="83" customFormat="1" ht="25.5">
      <c r="A173" s="67" t="str">
        <f t="shared" si="3"/>
        <v>5020399000</v>
      </c>
      <c r="B173" s="82" t="s">
        <v>1863</v>
      </c>
      <c r="C173" s="92" t="s">
        <v>209</v>
      </c>
      <c r="D173" s="99" t="s">
        <v>1858</v>
      </c>
      <c r="E173" s="94" t="s">
        <v>80</v>
      </c>
      <c r="F173" s="70">
        <v>46023</v>
      </c>
      <c r="G173" s="70"/>
      <c r="H173" s="14"/>
      <c r="I173" s="70">
        <v>46357</v>
      </c>
      <c r="J173" s="95" t="s">
        <v>83</v>
      </c>
      <c r="K173" s="106">
        <v>1272</v>
      </c>
      <c r="L173" s="106">
        <v>1272</v>
      </c>
      <c r="M173" s="93"/>
      <c r="N173" s="96"/>
    </row>
    <row r="174" spans="1:14" s="83" customFormat="1" ht="25.5">
      <c r="A174" s="67" t="str">
        <f t="shared" si="3"/>
        <v>5020308000</v>
      </c>
      <c r="B174" s="82" t="s">
        <v>1864</v>
      </c>
      <c r="C174" s="92" t="s">
        <v>158</v>
      </c>
      <c r="D174" s="99" t="s">
        <v>1858</v>
      </c>
      <c r="E174" s="94" t="s">
        <v>80</v>
      </c>
      <c r="F174" s="70">
        <v>46023</v>
      </c>
      <c r="G174" s="70"/>
      <c r="H174" s="14"/>
      <c r="I174" s="70">
        <v>46357</v>
      </c>
      <c r="J174" s="95" t="s">
        <v>83</v>
      </c>
      <c r="K174" s="106">
        <v>1020</v>
      </c>
      <c r="L174" s="106">
        <v>1020</v>
      </c>
      <c r="M174" s="93"/>
      <c r="N174" s="96"/>
    </row>
    <row r="175" spans="1:14" s="83" customFormat="1" ht="38.25">
      <c r="A175" s="67" t="str">
        <f t="shared" si="3"/>
        <v>5020399000</v>
      </c>
      <c r="B175" s="82" t="s">
        <v>1865</v>
      </c>
      <c r="C175" s="92" t="s">
        <v>209</v>
      </c>
      <c r="D175" s="99" t="s">
        <v>1932</v>
      </c>
      <c r="E175" s="94" t="s">
        <v>109</v>
      </c>
      <c r="F175" s="70">
        <v>46023</v>
      </c>
      <c r="G175" s="70"/>
      <c r="H175" s="14"/>
      <c r="I175" s="70">
        <v>46357</v>
      </c>
      <c r="J175" s="15" t="s">
        <v>83</v>
      </c>
      <c r="K175" s="72">
        <v>38600</v>
      </c>
      <c r="L175" s="72">
        <v>38600</v>
      </c>
      <c r="M175" s="93"/>
      <c r="N175" s="96"/>
    </row>
    <row r="176" spans="1:14" s="83" customFormat="1" ht="25.5">
      <c r="A176" s="67">
        <f t="shared" si="3"/>
        <v>5029905008</v>
      </c>
      <c r="B176" s="82" t="s">
        <v>1866</v>
      </c>
      <c r="C176" s="93">
        <v>5029905008</v>
      </c>
      <c r="D176" s="99" t="s">
        <v>1932</v>
      </c>
      <c r="E176" s="94" t="s">
        <v>109</v>
      </c>
      <c r="F176" s="70">
        <v>46023</v>
      </c>
      <c r="G176" s="70"/>
      <c r="H176" s="14"/>
      <c r="I176" s="70">
        <v>46357</v>
      </c>
      <c r="J176" s="15" t="s">
        <v>83</v>
      </c>
      <c r="K176" s="72">
        <v>49900</v>
      </c>
      <c r="L176" s="72">
        <v>49900</v>
      </c>
      <c r="M176" s="93"/>
      <c r="N176" s="96"/>
    </row>
    <row r="177" spans="1:14" s="83" customFormat="1" ht="38.25">
      <c r="A177" s="67" t="str">
        <f t="shared" si="3"/>
        <v>5020399000</v>
      </c>
      <c r="B177" s="82" t="s">
        <v>1867</v>
      </c>
      <c r="C177" s="92" t="s">
        <v>209</v>
      </c>
      <c r="D177" s="99" t="s">
        <v>1932</v>
      </c>
      <c r="E177" s="94" t="s">
        <v>109</v>
      </c>
      <c r="F177" s="70">
        <v>46023</v>
      </c>
      <c r="G177" s="70"/>
      <c r="H177" s="14"/>
      <c r="I177" s="70">
        <v>46357</v>
      </c>
      <c r="J177" s="15" t="s">
        <v>83</v>
      </c>
      <c r="K177" s="72">
        <v>56000</v>
      </c>
      <c r="L177" s="72">
        <v>56000</v>
      </c>
      <c r="M177" s="93"/>
      <c r="N177" s="96"/>
    </row>
    <row r="178" spans="1:14" s="83" customFormat="1" ht="25.5">
      <c r="A178" s="67" t="str">
        <f t="shared" si="3"/>
        <v>5020399000</v>
      </c>
      <c r="B178" s="82" t="s">
        <v>1868</v>
      </c>
      <c r="C178" s="92" t="s">
        <v>209</v>
      </c>
      <c r="D178" s="99" t="s">
        <v>1932</v>
      </c>
      <c r="E178" s="94" t="s">
        <v>109</v>
      </c>
      <c r="F178" s="70">
        <v>46023</v>
      </c>
      <c r="G178" s="70"/>
      <c r="H178" s="14"/>
      <c r="I178" s="70">
        <v>46357</v>
      </c>
      <c r="J178" s="15" t="s">
        <v>83</v>
      </c>
      <c r="K178" s="72">
        <v>128580</v>
      </c>
      <c r="L178" s="72">
        <v>128580</v>
      </c>
      <c r="M178" s="93"/>
      <c r="N178" s="96"/>
    </row>
    <row r="179" spans="1:14" s="83" customFormat="1" ht="38.25">
      <c r="A179" s="67" t="str">
        <f t="shared" si="3"/>
        <v>5020399000</v>
      </c>
      <c r="B179" s="82" t="s">
        <v>1869</v>
      </c>
      <c r="C179" s="92" t="s">
        <v>209</v>
      </c>
      <c r="D179" s="99" t="s">
        <v>1932</v>
      </c>
      <c r="E179" s="94" t="s">
        <v>109</v>
      </c>
      <c r="F179" s="70">
        <v>46023</v>
      </c>
      <c r="G179" s="70"/>
      <c r="H179" s="14"/>
      <c r="I179" s="70">
        <v>46357</v>
      </c>
      <c r="J179" s="15" t="s">
        <v>83</v>
      </c>
      <c r="K179" s="72">
        <v>1272200</v>
      </c>
      <c r="L179" s="72">
        <v>1272200</v>
      </c>
      <c r="M179" s="93"/>
      <c r="N179" s="96"/>
    </row>
    <row r="180" spans="1:14" s="83" customFormat="1" ht="25.5">
      <c r="A180" s="67" t="str">
        <f t="shared" si="3"/>
        <v>5020399000</v>
      </c>
      <c r="B180" s="82" t="s">
        <v>1871</v>
      </c>
      <c r="C180" s="92" t="s">
        <v>209</v>
      </c>
      <c r="D180" s="99" t="s">
        <v>1870</v>
      </c>
      <c r="E180" s="94" t="s">
        <v>109</v>
      </c>
      <c r="F180" s="70">
        <v>46023</v>
      </c>
      <c r="G180" s="70"/>
      <c r="H180" s="14"/>
      <c r="I180" s="70">
        <v>46357</v>
      </c>
      <c r="J180" s="15" t="s">
        <v>83</v>
      </c>
      <c r="K180" s="72">
        <v>36000</v>
      </c>
      <c r="L180" s="72">
        <v>36000</v>
      </c>
      <c r="M180" s="93"/>
      <c r="N180" s="96"/>
    </row>
    <row r="181" spans="1:14" s="83" customFormat="1" ht="25.5">
      <c r="A181" s="67" t="str">
        <f t="shared" si="3"/>
        <v>5020399000</v>
      </c>
      <c r="B181" s="82" t="s">
        <v>1872</v>
      </c>
      <c r="C181" s="92" t="s">
        <v>209</v>
      </c>
      <c r="D181" s="99" t="s">
        <v>1870</v>
      </c>
      <c r="E181" s="94" t="s">
        <v>109</v>
      </c>
      <c r="F181" s="70">
        <v>46023</v>
      </c>
      <c r="G181" s="70"/>
      <c r="H181" s="14"/>
      <c r="I181" s="70">
        <v>46357</v>
      </c>
      <c r="J181" s="15" t="s">
        <v>83</v>
      </c>
      <c r="K181" s="72">
        <v>18500</v>
      </c>
      <c r="L181" s="72">
        <v>18500</v>
      </c>
      <c r="M181" s="93"/>
      <c r="N181" s="96"/>
    </row>
    <row r="182" spans="1:14" s="83" customFormat="1" ht="25.5">
      <c r="A182" s="67" t="str">
        <f t="shared" si="3"/>
        <v>5020399000</v>
      </c>
      <c r="B182" s="82" t="s">
        <v>1873</v>
      </c>
      <c r="C182" s="92" t="s">
        <v>209</v>
      </c>
      <c r="D182" s="99" t="s">
        <v>1870</v>
      </c>
      <c r="E182" s="94" t="s">
        <v>109</v>
      </c>
      <c r="F182" s="70">
        <v>46023</v>
      </c>
      <c r="G182" s="70"/>
      <c r="H182" s="14"/>
      <c r="I182" s="70">
        <v>46357</v>
      </c>
      <c r="J182" s="15" t="s">
        <v>83</v>
      </c>
      <c r="K182" s="72">
        <v>39500</v>
      </c>
      <c r="L182" s="72">
        <v>39500</v>
      </c>
      <c r="M182" s="93"/>
      <c r="N182" s="96"/>
    </row>
    <row r="183" spans="1:14" s="83" customFormat="1" ht="25.5">
      <c r="A183" s="67" t="str">
        <f t="shared" si="3"/>
        <v>5020301000</v>
      </c>
      <c r="B183" s="82" t="s">
        <v>1874</v>
      </c>
      <c r="C183" s="92" t="s">
        <v>140</v>
      </c>
      <c r="D183" s="99" t="s">
        <v>1870</v>
      </c>
      <c r="E183" s="94" t="s">
        <v>109</v>
      </c>
      <c r="F183" s="70">
        <v>46023</v>
      </c>
      <c r="G183" s="70"/>
      <c r="H183" s="14"/>
      <c r="I183" s="70">
        <v>46357</v>
      </c>
      <c r="J183" s="15" t="s">
        <v>83</v>
      </c>
      <c r="K183" s="72">
        <v>426779.74</v>
      </c>
      <c r="L183" s="72">
        <v>426779.74</v>
      </c>
      <c r="M183" s="93"/>
      <c r="N183" s="96"/>
    </row>
    <row r="184" spans="1:14" s="83" customFormat="1" ht="38.25">
      <c r="A184" s="67" t="str">
        <f t="shared" si="3"/>
        <v>5020308000</v>
      </c>
      <c r="B184" s="82" t="s">
        <v>1875</v>
      </c>
      <c r="C184" s="92" t="s">
        <v>158</v>
      </c>
      <c r="D184" s="99" t="s">
        <v>1933</v>
      </c>
      <c r="E184" s="94" t="s">
        <v>109</v>
      </c>
      <c r="F184" s="70">
        <v>46023</v>
      </c>
      <c r="G184" s="70"/>
      <c r="H184" s="14"/>
      <c r="I184" s="70">
        <v>46357</v>
      </c>
      <c r="J184" s="15" t="s">
        <v>83</v>
      </c>
      <c r="K184" s="72">
        <v>293205</v>
      </c>
      <c r="L184" s="72">
        <v>293205</v>
      </c>
      <c r="M184" s="93"/>
      <c r="N184" s="96"/>
    </row>
    <row r="185" spans="1:14" s="83" customFormat="1" ht="38.25">
      <c r="A185" s="67" t="str">
        <f t="shared" si="3"/>
        <v>5020301000</v>
      </c>
      <c r="B185" s="82" t="s">
        <v>1876</v>
      </c>
      <c r="C185" s="92" t="s">
        <v>140</v>
      </c>
      <c r="D185" s="99" t="s">
        <v>1934</v>
      </c>
      <c r="E185" s="94" t="s">
        <v>74</v>
      </c>
      <c r="F185" s="70">
        <v>46023</v>
      </c>
      <c r="G185" s="70"/>
      <c r="H185" s="14"/>
      <c r="I185" s="70">
        <v>46357</v>
      </c>
      <c r="J185" s="15" t="s">
        <v>83</v>
      </c>
      <c r="K185" s="72">
        <v>685494</v>
      </c>
      <c r="L185" s="72">
        <v>685494</v>
      </c>
      <c r="M185" s="93"/>
      <c r="N185" s="96"/>
    </row>
    <row r="186" spans="1:14" s="83" customFormat="1" ht="25.5">
      <c r="A186" s="67" t="str">
        <f t="shared" si="3"/>
        <v>5020399000</v>
      </c>
      <c r="B186" s="82" t="s">
        <v>1877</v>
      </c>
      <c r="C186" s="92" t="s">
        <v>209</v>
      </c>
      <c r="D186" s="99" t="s">
        <v>1934</v>
      </c>
      <c r="E186" s="94" t="s">
        <v>109</v>
      </c>
      <c r="F186" s="70">
        <v>46023</v>
      </c>
      <c r="G186" s="70"/>
      <c r="H186" s="14"/>
      <c r="I186" s="70">
        <v>46357</v>
      </c>
      <c r="J186" s="15" t="s">
        <v>83</v>
      </c>
      <c r="K186" s="72">
        <v>35700</v>
      </c>
      <c r="L186" s="72">
        <v>35700</v>
      </c>
      <c r="M186" s="93"/>
      <c r="N186" s="96"/>
    </row>
    <row r="187" spans="1:14" s="83" customFormat="1" ht="25.5">
      <c r="A187" s="67" t="str">
        <f t="shared" si="3"/>
        <v>5020399000</v>
      </c>
      <c r="B187" s="82" t="s">
        <v>1878</v>
      </c>
      <c r="C187" s="92" t="s">
        <v>209</v>
      </c>
      <c r="D187" s="99" t="s">
        <v>1934</v>
      </c>
      <c r="E187" s="94" t="s">
        <v>109</v>
      </c>
      <c r="F187" s="70">
        <v>46023</v>
      </c>
      <c r="G187" s="70"/>
      <c r="H187" s="14"/>
      <c r="I187" s="70">
        <v>46357</v>
      </c>
      <c r="J187" s="15" t="s">
        <v>83</v>
      </c>
      <c r="K187" s="72">
        <v>70000</v>
      </c>
      <c r="L187" s="72">
        <v>70000</v>
      </c>
      <c r="M187" s="93"/>
      <c r="N187" s="96"/>
    </row>
    <row r="188" spans="1:14" s="83" customFormat="1" ht="25.5">
      <c r="A188" s="67" t="str">
        <f t="shared" si="3"/>
        <v>5020399000</v>
      </c>
      <c r="B188" s="82" t="s">
        <v>1879</v>
      </c>
      <c r="C188" s="92" t="s">
        <v>209</v>
      </c>
      <c r="D188" s="99" t="s">
        <v>1934</v>
      </c>
      <c r="E188" s="94" t="s">
        <v>109</v>
      </c>
      <c r="F188" s="70">
        <v>46023</v>
      </c>
      <c r="G188" s="70"/>
      <c r="H188" s="14"/>
      <c r="I188" s="70">
        <v>46357</v>
      </c>
      <c r="J188" s="15" t="s">
        <v>83</v>
      </c>
      <c r="K188" s="72">
        <v>106362</v>
      </c>
      <c r="L188" s="72">
        <v>106362</v>
      </c>
      <c r="M188" s="93"/>
      <c r="N188" s="96"/>
    </row>
    <row r="189" spans="1:14" s="83" customFormat="1" ht="25.5">
      <c r="A189" s="67" t="str">
        <f t="shared" si="3"/>
        <v>5020399000</v>
      </c>
      <c r="B189" s="82" t="s">
        <v>1881</v>
      </c>
      <c r="C189" s="92" t="s">
        <v>209</v>
      </c>
      <c r="D189" s="99" t="s">
        <v>1880</v>
      </c>
      <c r="E189" s="94" t="s">
        <v>109</v>
      </c>
      <c r="F189" s="70">
        <v>46023</v>
      </c>
      <c r="G189" s="70"/>
      <c r="H189" s="14"/>
      <c r="I189" s="70">
        <v>46357</v>
      </c>
      <c r="J189" s="15" t="s">
        <v>83</v>
      </c>
      <c r="K189" s="72">
        <v>800000</v>
      </c>
      <c r="L189" s="72">
        <v>800000</v>
      </c>
      <c r="M189" s="93"/>
      <c r="N189" s="96"/>
    </row>
    <row r="190" spans="1:14" s="83" customFormat="1" ht="25.5">
      <c r="A190" s="67" t="str">
        <f t="shared" si="3"/>
        <v>5020399000</v>
      </c>
      <c r="B190" s="82" t="s">
        <v>1882</v>
      </c>
      <c r="C190" s="92" t="s">
        <v>209</v>
      </c>
      <c r="D190" s="99" t="s">
        <v>1935</v>
      </c>
      <c r="E190" s="94" t="s">
        <v>109</v>
      </c>
      <c r="F190" s="70">
        <v>46023</v>
      </c>
      <c r="G190" s="70"/>
      <c r="H190" s="14"/>
      <c r="I190" s="70">
        <v>46357</v>
      </c>
      <c r="J190" s="15" t="s">
        <v>83</v>
      </c>
      <c r="K190" s="72">
        <v>300000</v>
      </c>
      <c r="L190" s="72">
        <v>300000</v>
      </c>
      <c r="M190" s="93"/>
      <c r="N190" s="96"/>
    </row>
    <row r="191" spans="1:14" s="83" customFormat="1" ht="25.5">
      <c r="A191" s="67" t="str">
        <f t="shared" si="3"/>
        <v>5020301000</v>
      </c>
      <c r="B191" s="82" t="s">
        <v>1883</v>
      </c>
      <c r="C191" s="92" t="s">
        <v>140</v>
      </c>
      <c r="D191" s="99" t="s">
        <v>1935</v>
      </c>
      <c r="E191" s="94" t="s">
        <v>74</v>
      </c>
      <c r="F191" s="70">
        <v>46023</v>
      </c>
      <c r="G191" s="70"/>
      <c r="H191" s="14"/>
      <c r="I191" s="70">
        <v>46357</v>
      </c>
      <c r="J191" s="15" t="s">
        <v>83</v>
      </c>
      <c r="K191" s="72">
        <v>479880</v>
      </c>
      <c r="L191" s="72">
        <v>479880</v>
      </c>
      <c r="M191" s="93"/>
      <c r="N191" s="96"/>
    </row>
    <row r="192" spans="1:14" s="83" customFormat="1" ht="25.5">
      <c r="A192" s="67" t="str">
        <f t="shared" si="3"/>
        <v>5020399000</v>
      </c>
      <c r="B192" s="82" t="s">
        <v>1884</v>
      </c>
      <c r="C192" s="92" t="s">
        <v>209</v>
      </c>
      <c r="D192" s="99" t="s">
        <v>1935</v>
      </c>
      <c r="E192" s="94" t="s">
        <v>74</v>
      </c>
      <c r="F192" s="70">
        <v>46023</v>
      </c>
      <c r="G192" s="70"/>
      <c r="H192" s="14"/>
      <c r="I192" s="70">
        <v>46357</v>
      </c>
      <c r="J192" s="15" t="s">
        <v>83</v>
      </c>
      <c r="K192" s="72">
        <v>530000</v>
      </c>
      <c r="L192" s="72">
        <v>530000</v>
      </c>
      <c r="M192" s="93"/>
      <c r="N192" s="96"/>
    </row>
    <row r="193" spans="1:14" s="83" customFormat="1" ht="25.5">
      <c r="A193" s="67" t="str">
        <f t="shared" si="3"/>
        <v>5020399000</v>
      </c>
      <c r="B193" s="82" t="s">
        <v>1885</v>
      </c>
      <c r="C193" s="92" t="s">
        <v>209</v>
      </c>
      <c r="D193" s="99" t="s">
        <v>1935</v>
      </c>
      <c r="E193" s="94" t="s">
        <v>109</v>
      </c>
      <c r="F193" s="70">
        <v>46023</v>
      </c>
      <c r="G193" s="70"/>
      <c r="H193" s="14"/>
      <c r="I193" s="70">
        <v>46357</v>
      </c>
      <c r="J193" s="15" t="s">
        <v>83</v>
      </c>
      <c r="K193" s="72">
        <v>24000</v>
      </c>
      <c r="L193" s="72">
        <v>24000</v>
      </c>
      <c r="M193" s="93"/>
      <c r="N193" s="96"/>
    </row>
    <row r="194" spans="1:14" s="83" customFormat="1" ht="25.5">
      <c r="A194" s="67" t="str">
        <f t="shared" si="3"/>
        <v>5020399000</v>
      </c>
      <c r="B194" s="82" t="s">
        <v>1886</v>
      </c>
      <c r="C194" s="92" t="s">
        <v>209</v>
      </c>
      <c r="D194" s="99" t="s">
        <v>1677</v>
      </c>
      <c r="E194" s="94" t="s">
        <v>109</v>
      </c>
      <c r="F194" s="70">
        <v>46023</v>
      </c>
      <c r="G194" s="70"/>
      <c r="H194" s="14"/>
      <c r="I194" s="70">
        <v>46357</v>
      </c>
      <c r="J194" s="15" t="s">
        <v>83</v>
      </c>
      <c r="K194" s="72">
        <v>7008</v>
      </c>
      <c r="L194" s="72">
        <v>7008</v>
      </c>
      <c r="M194" s="93"/>
      <c r="N194" s="96"/>
    </row>
    <row r="195" spans="1:14" s="83" customFormat="1" ht="38.25">
      <c r="A195" s="67" t="str">
        <f t="shared" si="3"/>
        <v>5020399000</v>
      </c>
      <c r="B195" s="82" t="s">
        <v>1887</v>
      </c>
      <c r="C195" s="92" t="s">
        <v>209</v>
      </c>
      <c r="D195" s="99" t="s">
        <v>1677</v>
      </c>
      <c r="E195" s="94" t="s">
        <v>109</v>
      </c>
      <c r="F195" s="70">
        <v>46023</v>
      </c>
      <c r="G195" s="70"/>
      <c r="H195" s="14"/>
      <c r="I195" s="70">
        <v>46357</v>
      </c>
      <c r="J195" s="15" t="s">
        <v>83</v>
      </c>
      <c r="K195" s="72">
        <v>71720</v>
      </c>
      <c r="L195" s="72">
        <v>71720</v>
      </c>
      <c r="M195" s="93"/>
      <c r="N195" s="96"/>
    </row>
    <row r="196" spans="1:14" s="83" customFormat="1" ht="25.5">
      <c r="A196" s="67" t="str">
        <f t="shared" si="3"/>
        <v>5020399000</v>
      </c>
      <c r="B196" s="82" t="s">
        <v>1888</v>
      </c>
      <c r="C196" s="92" t="s">
        <v>209</v>
      </c>
      <c r="D196" s="99" t="s">
        <v>1677</v>
      </c>
      <c r="E196" s="94" t="s">
        <v>109</v>
      </c>
      <c r="F196" s="70">
        <v>46023</v>
      </c>
      <c r="G196" s="70"/>
      <c r="H196" s="14"/>
      <c r="I196" s="70">
        <v>46357</v>
      </c>
      <c r="J196" s="15" t="s">
        <v>83</v>
      </c>
      <c r="K196" s="72">
        <v>9432</v>
      </c>
      <c r="L196" s="72">
        <v>9432</v>
      </c>
      <c r="M196" s="93"/>
      <c r="N196" s="96"/>
    </row>
    <row r="197" spans="1:14" s="83" customFormat="1" ht="38.25">
      <c r="A197" s="67" t="str">
        <f t="shared" si="3"/>
        <v>5020308000</v>
      </c>
      <c r="B197" s="82" t="s">
        <v>1889</v>
      </c>
      <c r="C197" s="92" t="s">
        <v>158</v>
      </c>
      <c r="D197" s="99" t="s">
        <v>1677</v>
      </c>
      <c r="E197" s="94" t="s">
        <v>74</v>
      </c>
      <c r="F197" s="70">
        <v>46023</v>
      </c>
      <c r="G197" s="70"/>
      <c r="H197" s="14"/>
      <c r="I197" s="70">
        <v>46357</v>
      </c>
      <c r="J197" s="15" t="s">
        <v>83</v>
      </c>
      <c r="K197" s="72">
        <v>729324</v>
      </c>
      <c r="L197" s="72">
        <v>729324</v>
      </c>
      <c r="M197" s="93"/>
      <c r="N197" s="96"/>
    </row>
    <row r="198" spans="1:14" s="83" customFormat="1" ht="25.5">
      <c r="A198" s="67" t="str">
        <f t="shared" si="3"/>
        <v>5020399000</v>
      </c>
      <c r="B198" s="82" t="s">
        <v>1890</v>
      </c>
      <c r="C198" s="92" t="s">
        <v>209</v>
      </c>
      <c r="D198" s="99" t="s">
        <v>1677</v>
      </c>
      <c r="E198" s="94" t="s">
        <v>109</v>
      </c>
      <c r="F198" s="70">
        <v>46023</v>
      </c>
      <c r="G198" s="70"/>
      <c r="H198" s="14"/>
      <c r="I198" s="70">
        <v>46357</v>
      </c>
      <c r="J198" s="15" t="s">
        <v>83</v>
      </c>
      <c r="K198" s="72">
        <v>4800</v>
      </c>
      <c r="L198" s="72">
        <v>4800</v>
      </c>
      <c r="M198" s="93"/>
      <c r="N198" s="96"/>
    </row>
    <row r="199" spans="1:14" s="83" customFormat="1" ht="25.5">
      <c r="A199" s="67" t="str">
        <f t="shared" ref="A199:A240" si="4">C199</f>
        <v>5020301000</v>
      </c>
      <c r="B199" s="82" t="s">
        <v>1891</v>
      </c>
      <c r="C199" s="92" t="s">
        <v>140</v>
      </c>
      <c r="D199" s="99" t="s">
        <v>1677</v>
      </c>
      <c r="E199" s="94" t="s">
        <v>109</v>
      </c>
      <c r="F199" s="70">
        <v>46023</v>
      </c>
      <c r="G199" s="70"/>
      <c r="H199" s="14"/>
      <c r="I199" s="70">
        <v>46357</v>
      </c>
      <c r="J199" s="15" t="s">
        <v>83</v>
      </c>
      <c r="K199" s="72">
        <v>25716</v>
      </c>
      <c r="L199" s="72">
        <v>25716</v>
      </c>
      <c r="M199" s="93"/>
      <c r="N199" s="96"/>
    </row>
    <row r="200" spans="1:14" s="83" customFormat="1" ht="25.5">
      <c r="A200" s="67" t="str">
        <f t="shared" si="4"/>
        <v>5020399000</v>
      </c>
      <c r="B200" s="82" t="s">
        <v>1892</v>
      </c>
      <c r="C200" s="92" t="s">
        <v>209</v>
      </c>
      <c r="D200" s="99" t="s">
        <v>1936</v>
      </c>
      <c r="E200" s="94" t="s">
        <v>74</v>
      </c>
      <c r="F200" s="70">
        <v>46023</v>
      </c>
      <c r="G200" s="70"/>
      <c r="H200" s="14"/>
      <c r="I200" s="70">
        <v>46357</v>
      </c>
      <c r="J200" s="15" t="s">
        <v>83</v>
      </c>
      <c r="K200" s="72">
        <v>32976</v>
      </c>
      <c r="L200" s="72">
        <v>32976</v>
      </c>
      <c r="M200" s="93"/>
      <c r="N200" s="96"/>
    </row>
    <row r="201" spans="1:14" s="83" customFormat="1" ht="25.5">
      <c r="A201" s="67" t="str">
        <f t="shared" si="4"/>
        <v>5020399000</v>
      </c>
      <c r="B201" s="82" t="s">
        <v>1893</v>
      </c>
      <c r="C201" s="92" t="s">
        <v>209</v>
      </c>
      <c r="D201" s="99" t="s">
        <v>1936</v>
      </c>
      <c r="E201" s="94" t="s">
        <v>74</v>
      </c>
      <c r="F201" s="70">
        <v>46023</v>
      </c>
      <c r="G201" s="70"/>
      <c r="H201" s="14"/>
      <c r="I201" s="70">
        <v>46357</v>
      </c>
      <c r="J201" s="15" t="s">
        <v>83</v>
      </c>
      <c r="K201" s="72">
        <v>56304</v>
      </c>
      <c r="L201" s="72">
        <v>56304</v>
      </c>
      <c r="M201" s="93"/>
      <c r="N201" s="96"/>
    </row>
    <row r="202" spans="1:14" s="83" customFormat="1" ht="25.5">
      <c r="A202" s="67" t="str">
        <f t="shared" si="4"/>
        <v>5020399000</v>
      </c>
      <c r="B202" s="82" t="s">
        <v>1894</v>
      </c>
      <c r="C202" s="92" t="s">
        <v>209</v>
      </c>
      <c r="D202" s="99" t="s">
        <v>1936</v>
      </c>
      <c r="E202" s="94" t="s">
        <v>74</v>
      </c>
      <c r="F202" s="70">
        <v>46023</v>
      </c>
      <c r="G202" s="70"/>
      <c r="H202" s="14"/>
      <c r="I202" s="70">
        <v>46357</v>
      </c>
      <c r="J202" s="15" t="s">
        <v>83</v>
      </c>
      <c r="K202" s="72">
        <v>855230</v>
      </c>
      <c r="L202" s="72">
        <v>855230</v>
      </c>
      <c r="M202" s="93"/>
      <c r="N202" s="96"/>
    </row>
    <row r="203" spans="1:14" s="83" customFormat="1" ht="25.5">
      <c r="A203" s="67" t="str">
        <f t="shared" si="4"/>
        <v>5020321002</v>
      </c>
      <c r="B203" s="82" t="s">
        <v>1895</v>
      </c>
      <c r="C203" s="92" t="s">
        <v>177</v>
      </c>
      <c r="D203" s="99" t="s">
        <v>1937</v>
      </c>
      <c r="E203" s="94" t="s">
        <v>109</v>
      </c>
      <c r="F203" s="70">
        <v>46023</v>
      </c>
      <c r="G203" s="70"/>
      <c r="H203" s="14"/>
      <c r="I203" s="70">
        <v>46357</v>
      </c>
      <c r="J203" s="15" t="s">
        <v>83</v>
      </c>
      <c r="K203" s="72">
        <v>18032.240000000002</v>
      </c>
      <c r="L203" s="72">
        <v>18032.240000000002</v>
      </c>
      <c r="M203" s="93"/>
      <c r="N203" s="96"/>
    </row>
    <row r="204" spans="1:14" s="83" customFormat="1" ht="25.5">
      <c r="A204" s="67" t="str">
        <f t="shared" si="4"/>
        <v>5020399000</v>
      </c>
      <c r="B204" s="82" t="s">
        <v>1896</v>
      </c>
      <c r="C204" s="92" t="s">
        <v>209</v>
      </c>
      <c r="D204" s="99" t="s">
        <v>1937</v>
      </c>
      <c r="E204" s="94" t="s">
        <v>109</v>
      </c>
      <c r="F204" s="70">
        <v>46023</v>
      </c>
      <c r="G204" s="70"/>
      <c r="H204" s="14"/>
      <c r="I204" s="70">
        <v>46357</v>
      </c>
      <c r="J204" s="15" t="s">
        <v>83</v>
      </c>
      <c r="K204" s="72">
        <v>9500</v>
      </c>
      <c r="L204" s="72">
        <v>9500</v>
      </c>
      <c r="M204" s="93"/>
      <c r="N204" s="96"/>
    </row>
    <row r="205" spans="1:14" s="83" customFormat="1" ht="51">
      <c r="A205" s="67" t="str">
        <f t="shared" si="4"/>
        <v>5021601000</v>
      </c>
      <c r="B205" s="82" t="s">
        <v>1897</v>
      </c>
      <c r="C205" s="92" t="s">
        <v>508</v>
      </c>
      <c r="D205" s="99" t="s">
        <v>1937</v>
      </c>
      <c r="E205" s="94" t="s">
        <v>74</v>
      </c>
      <c r="F205" s="70">
        <v>46023</v>
      </c>
      <c r="G205" s="70"/>
      <c r="H205" s="14"/>
      <c r="I205" s="70">
        <v>46357</v>
      </c>
      <c r="J205" s="15" t="s">
        <v>83</v>
      </c>
      <c r="K205" s="72">
        <v>175000</v>
      </c>
      <c r="L205" s="72">
        <v>175000</v>
      </c>
      <c r="M205" s="93"/>
      <c r="N205" s="96"/>
    </row>
    <row r="206" spans="1:14" s="83" customFormat="1" ht="25.5">
      <c r="A206" s="67" t="str">
        <f t="shared" si="4"/>
        <v>5020307000</v>
      </c>
      <c r="B206" s="82" t="s">
        <v>1898</v>
      </c>
      <c r="C206" s="92" t="s">
        <v>156</v>
      </c>
      <c r="D206" s="99" t="s">
        <v>1937</v>
      </c>
      <c r="E206" s="94" t="s">
        <v>74</v>
      </c>
      <c r="F206" s="70">
        <v>46023</v>
      </c>
      <c r="G206" s="70"/>
      <c r="H206" s="14"/>
      <c r="I206" s="70">
        <v>46357</v>
      </c>
      <c r="J206" s="15" t="s">
        <v>83</v>
      </c>
      <c r="K206" s="72">
        <v>599280</v>
      </c>
      <c r="L206" s="72">
        <v>599280</v>
      </c>
      <c r="M206" s="93"/>
      <c r="N206" s="96"/>
    </row>
    <row r="207" spans="1:14" s="83" customFormat="1" ht="25.5">
      <c r="A207" s="67" t="str">
        <f t="shared" si="4"/>
        <v>5029902000</v>
      </c>
      <c r="B207" s="82" t="s">
        <v>1899</v>
      </c>
      <c r="C207" s="92" t="s">
        <v>514</v>
      </c>
      <c r="D207" s="99" t="s">
        <v>1937</v>
      </c>
      <c r="E207" s="94" t="s">
        <v>84</v>
      </c>
      <c r="F207" s="70">
        <v>46023</v>
      </c>
      <c r="G207" s="70"/>
      <c r="H207" s="14"/>
      <c r="I207" s="70">
        <v>46357</v>
      </c>
      <c r="J207" s="15" t="s">
        <v>83</v>
      </c>
      <c r="K207" s="72">
        <v>5050</v>
      </c>
      <c r="L207" s="72">
        <v>5050</v>
      </c>
      <c r="M207" s="93"/>
      <c r="N207" s="96"/>
    </row>
    <row r="208" spans="1:14" s="83" customFormat="1" ht="25.5">
      <c r="A208" s="67" t="str">
        <f t="shared" si="4"/>
        <v>5020399000</v>
      </c>
      <c r="B208" s="82" t="s">
        <v>1900</v>
      </c>
      <c r="C208" s="92" t="s">
        <v>209</v>
      </c>
      <c r="D208" s="99" t="s">
        <v>1937</v>
      </c>
      <c r="E208" s="94" t="s">
        <v>109</v>
      </c>
      <c r="F208" s="70">
        <v>46023</v>
      </c>
      <c r="G208" s="70"/>
      <c r="H208" s="14"/>
      <c r="I208" s="70">
        <v>46357</v>
      </c>
      <c r="J208" s="15" t="s">
        <v>83</v>
      </c>
      <c r="K208" s="72">
        <v>80100</v>
      </c>
      <c r="L208" s="72">
        <v>80100</v>
      </c>
      <c r="M208" s="93"/>
      <c r="N208" s="96"/>
    </row>
    <row r="209" spans="1:14" s="83" customFormat="1" ht="25.5">
      <c r="A209" s="67" t="str">
        <f t="shared" si="4"/>
        <v>5020399000</v>
      </c>
      <c r="B209" s="82" t="s">
        <v>1901</v>
      </c>
      <c r="C209" s="92" t="s">
        <v>209</v>
      </c>
      <c r="D209" s="99" t="s">
        <v>1937</v>
      </c>
      <c r="E209" s="94" t="s">
        <v>109</v>
      </c>
      <c r="F209" s="70">
        <v>46023</v>
      </c>
      <c r="G209" s="70"/>
      <c r="H209" s="14"/>
      <c r="I209" s="70">
        <v>46357</v>
      </c>
      <c r="J209" s="15" t="s">
        <v>83</v>
      </c>
      <c r="K209" s="72">
        <v>45000</v>
      </c>
      <c r="L209" s="72">
        <v>45000</v>
      </c>
      <c r="M209" s="93"/>
      <c r="N209" s="96"/>
    </row>
    <row r="210" spans="1:14" s="83" customFormat="1" ht="25.5">
      <c r="A210" s="67" t="str">
        <f t="shared" si="4"/>
        <v>5020308000</v>
      </c>
      <c r="B210" s="82" t="s">
        <v>1902</v>
      </c>
      <c r="C210" s="92" t="s">
        <v>158</v>
      </c>
      <c r="D210" s="99" t="s">
        <v>1937</v>
      </c>
      <c r="E210" s="94" t="s">
        <v>74</v>
      </c>
      <c r="F210" s="70">
        <v>46023</v>
      </c>
      <c r="G210" s="70"/>
      <c r="H210" s="14"/>
      <c r="I210" s="70">
        <v>46357</v>
      </c>
      <c r="J210" s="15" t="s">
        <v>83</v>
      </c>
      <c r="K210" s="72">
        <v>190100</v>
      </c>
      <c r="L210" s="72">
        <v>190100</v>
      </c>
      <c r="M210" s="93"/>
      <c r="N210" s="96"/>
    </row>
    <row r="211" spans="1:14" s="83" customFormat="1" ht="38.25">
      <c r="A211" s="67" t="str">
        <f t="shared" si="4"/>
        <v>5020308000</v>
      </c>
      <c r="B211" s="82" t="s">
        <v>1903</v>
      </c>
      <c r="C211" s="92" t="s">
        <v>158</v>
      </c>
      <c r="D211" s="99" t="s">
        <v>1937</v>
      </c>
      <c r="E211" s="94" t="s">
        <v>74</v>
      </c>
      <c r="F211" s="70">
        <v>46023</v>
      </c>
      <c r="G211" s="70"/>
      <c r="H211" s="14"/>
      <c r="I211" s="70">
        <v>46357</v>
      </c>
      <c r="J211" s="15" t="s">
        <v>83</v>
      </c>
      <c r="K211" s="72">
        <v>104700</v>
      </c>
      <c r="L211" s="72">
        <v>104700</v>
      </c>
      <c r="M211" s="93"/>
      <c r="N211" s="96"/>
    </row>
    <row r="212" spans="1:14" s="83" customFormat="1" ht="25.5">
      <c r="A212" s="67" t="str">
        <f t="shared" si="4"/>
        <v>5020301000</v>
      </c>
      <c r="B212" s="82" t="s">
        <v>1904</v>
      </c>
      <c r="C212" s="92" t="s">
        <v>140</v>
      </c>
      <c r="D212" s="99" t="s">
        <v>1937</v>
      </c>
      <c r="E212" s="94" t="s">
        <v>109</v>
      </c>
      <c r="F212" s="70">
        <v>46023</v>
      </c>
      <c r="G212" s="70"/>
      <c r="H212" s="14"/>
      <c r="I212" s="70">
        <v>46357</v>
      </c>
      <c r="J212" s="15" t="s">
        <v>83</v>
      </c>
      <c r="K212" s="72">
        <v>53653</v>
      </c>
      <c r="L212" s="72">
        <v>53653</v>
      </c>
      <c r="M212" s="93"/>
      <c r="N212" s="96"/>
    </row>
    <row r="213" spans="1:14" s="83" customFormat="1" ht="25.5">
      <c r="A213" s="67" t="str">
        <f t="shared" si="4"/>
        <v>5029902000</v>
      </c>
      <c r="B213" s="82" t="s">
        <v>1905</v>
      </c>
      <c r="C213" s="92" t="s">
        <v>514</v>
      </c>
      <c r="D213" s="99" t="s">
        <v>1937</v>
      </c>
      <c r="E213" s="94" t="s">
        <v>109</v>
      </c>
      <c r="F213" s="70">
        <v>46023</v>
      </c>
      <c r="G213" s="70"/>
      <c r="H213" s="14"/>
      <c r="I213" s="70">
        <v>46357</v>
      </c>
      <c r="J213" s="15" t="s">
        <v>83</v>
      </c>
      <c r="K213" s="72">
        <v>6500</v>
      </c>
      <c r="L213" s="72">
        <v>6500</v>
      </c>
      <c r="M213" s="93"/>
      <c r="N213" s="96"/>
    </row>
    <row r="214" spans="1:14" s="83" customFormat="1" ht="25.5">
      <c r="A214" s="67" t="str">
        <f t="shared" si="4"/>
        <v>5020307000</v>
      </c>
      <c r="B214" s="82" t="s">
        <v>1898</v>
      </c>
      <c r="C214" s="92" t="s">
        <v>156</v>
      </c>
      <c r="D214" s="99" t="s">
        <v>1937</v>
      </c>
      <c r="E214" s="94" t="s">
        <v>74</v>
      </c>
      <c r="F214" s="70">
        <v>46023</v>
      </c>
      <c r="G214" s="70"/>
      <c r="H214" s="14"/>
      <c r="I214" s="70">
        <v>46357</v>
      </c>
      <c r="J214" s="15" t="s">
        <v>83</v>
      </c>
      <c r="K214" s="72">
        <v>329060</v>
      </c>
      <c r="L214" s="72">
        <v>329060</v>
      </c>
      <c r="M214" s="93"/>
      <c r="N214" s="96"/>
    </row>
    <row r="215" spans="1:14" s="83" customFormat="1" ht="25.5">
      <c r="A215" s="67" t="str">
        <f t="shared" si="4"/>
        <v>5020399000</v>
      </c>
      <c r="B215" s="82" t="s">
        <v>1906</v>
      </c>
      <c r="C215" s="92" t="s">
        <v>209</v>
      </c>
      <c r="D215" s="99" t="s">
        <v>1937</v>
      </c>
      <c r="E215" s="94" t="s">
        <v>74</v>
      </c>
      <c r="F215" s="70">
        <v>46023</v>
      </c>
      <c r="G215" s="70"/>
      <c r="H215" s="14"/>
      <c r="I215" s="70">
        <v>46357</v>
      </c>
      <c r="J215" s="15" t="s">
        <v>83</v>
      </c>
      <c r="K215" s="72">
        <v>49000</v>
      </c>
      <c r="L215" s="72">
        <v>49000</v>
      </c>
      <c r="M215" s="93"/>
      <c r="N215" s="96"/>
    </row>
    <row r="216" spans="1:14" s="83" customFormat="1" ht="38.25">
      <c r="A216" s="67" t="str">
        <f t="shared" si="4"/>
        <v>5020308000</v>
      </c>
      <c r="B216" s="82" t="s">
        <v>1903</v>
      </c>
      <c r="C216" s="92" t="s">
        <v>158</v>
      </c>
      <c r="D216" s="99" t="s">
        <v>1937</v>
      </c>
      <c r="E216" s="94" t="s">
        <v>74</v>
      </c>
      <c r="F216" s="70">
        <v>46023</v>
      </c>
      <c r="G216" s="70"/>
      <c r="H216" s="14"/>
      <c r="I216" s="70">
        <v>46357</v>
      </c>
      <c r="J216" s="15" t="s">
        <v>83</v>
      </c>
      <c r="K216" s="72">
        <v>76250</v>
      </c>
      <c r="L216" s="72">
        <v>76250</v>
      </c>
      <c r="M216" s="93"/>
      <c r="N216" s="96"/>
    </row>
    <row r="217" spans="1:14" s="83" customFormat="1" ht="25.5">
      <c r="A217" s="67" t="str">
        <f t="shared" si="4"/>
        <v>5020399000</v>
      </c>
      <c r="B217" s="82" t="s">
        <v>1907</v>
      </c>
      <c r="C217" s="92" t="s">
        <v>209</v>
      </c>
      <c r="D217" s="99" t="s">
        <v>1937</v>
      </c>
      <c r="E217" s="94" t="s">
        <v>74</v>
      </c>
      <c r="F217" s="70">
        <v>46023</v>
      </c>
      <c r="G217" s="70"/>
      <c r="H217" s="14"/>
      <c r="I217" s="70">
        <v>46357</v>
      </c>
      <c r="J217" s="15" t="s">
        <v>83</v>
      </c>
      <c r="K217" s="72">
        <v>17000</v>
      </c>
      <c r="L217" s="72">
        <v>17000</v>
      </c>
      <c r="M217" s="93"/>
      <c r="N217" s="96"/>
    </row>
    <row r="218" spans="1:14" s="83" customFormat="1" ht="25.5">
      <c r="A218" s="67" t="str">
        <f t="shared" si="4"/>
        <v>5020399000</v>
      </c>
      <c r="B218" s="82" t="s">
        <v>1909</v>
      </c>
      <c r="C218" s="92" t="s">
        <v>209</v>
      </c>
      <c r="D218" s="99" t="s">
        <v>1908</v>
      </c>
      <c r="E218" s="94" t="s">
        <v>109</v>
      </c>
      <c r="F218" s="70">
        <v>46023</v>
      </c>
      <c r="G218" s="70"/>
      <c r="H218" s="14"/>
      <c r="I218" s="70">
        <v>46357</v>
      </c>
      <c r="J218" s="15" t="s">
        <v>83</v>
      </c>
      <c r="K218" s="72">
        <v>2600</v>
      </c>
      <c r="L218" s="72">
        <v>2600</v>
      </c>
      <c r="M218" s="93"/>
      <c r="N218" s="96"/>
    </row>
    <row r="219" spans="1:14" s="83" customFormat="1" ht="25.5">
      <c r="A219" s="67" t="str">
        <f t="shared" si="4"/>
        <v>5020399000</v>
      </c>
      <c r="B219" s="82" t="s">
        <v>1910</v>
      </c>
      <c r="C219" s="92" t="s">
        <v>209</v>
      </c>
      <c r="D219" s="99" t="s">
        <v>1908</v>
      </c>
      <c r="E219" s="94" t="s">
        <v>109</v>
      </c>
      <c r="F219" s="70">
        <v>46023</v>
      </c>
      <c r="G219" s="70"/>
      <c r="H219" s="14"/>
      <c r="I219" s="70">
        <v>46357</v>
      </c>
      <c r="J219" s="15" t="s">
        <v>83</v>
      </c>
      <c r="K219" s="72">
        <v>19500</v>
      </c>
      <c r="L219" s="72">
        <v>19500</v>
      </c>
      <c r="M219" s="93"/>
      <c r="N219" s="96"/>
    </row>
    <row r="220" spans="1:14" s="83" customFormat="1" ht="25.5">
      <c r="A220" s="67" t="str">
        <f t="shared" si="4"/>
        <v>5020399000</v>
      </c>
      <c r="B220" s="82" t="s">
        <v>1911</v>
      </c>
      <c r="C220" s="92" t="s">
        <v>209</v>
      </c>
      <c r="D220" s="99" t="s">
        <v>1908</v>
      </c>
      <c r="E220" s="94" t="s">
        <v>109</v>
      </c>
      <c r="F220" s="70">
        <v>46023</v>
      </c>
      <c r="G220" s="70"/>
      <c r="H220" s="14"/>
      <c r="I220" s="70">
        <v>46357</v>
      </c>
      <c r="J220" s="15" t="s">
        <v>83</v>
      </c>
      <c r="K220" s="72">
        <v>19200</v>
      </c>
      <c r="L220" s="72">
        <v>19200</v>
      </c>
      <c r="M220" s="93"/>
      <c r="N220" s="96"/>
    </row>
    <row r="221" spans="1:14" s="83" customFormat="1" ht="25.5">
      <c r="A221" s="67" t="str">
        <f t="shared" si="4"/>
        <v>5020399000</v>
      </c>
      <c r="B221" s="82" t="s">
        <v>1912</v>
      </c>
      <c r="C221" s="92" t="s">
        <v>209</v>
      </c>
      <c r="D221" s="99" t="s">
        <v>1908</v>
      </c>
      <c r="E221" s="94" t="s">
        <v>109</v>
      </c>
      <c r="F221" s="70">
        <v>46023</v>
      </c>
      <c r="G221" s="70"/>
      <c r="H221" s="14"/>
      <c r="I221" s="70">
        <v>46357</v>
      </c>
      <c r="J221" s="15" t="s">
        <v>83</v>
      </c>
      <c r="K221" s="72">
        <v>200000</v>
      </c>
      <c r="L221" s="72">
        <v>200000</v>
      </c>
      <c r="M221" s="93"/>
      <c r="N221" s="96"/>
    </row>
    <row r="222" spans="1:14" s="83" customFormat="1" ht="25.5">
      <c r="A222" s="67" t="str">
        <f t="shared" si="4"/>
        <v>5020399000</v>
      </c>
      <c r="B222" s="82" t="s">
        <v>1913</v>
      </c>
      <c r="C222" s="92" t="s">
        <v>209</v>
      </c>
      <c r="D222" s="99" t="s">
        <v>1908</v>
      </c>
      <c r="E222" s="94" t="s">
        <v>74</v>
      </c>
      <c r="F222" s="70">
        <v>46023</v>
      </c>
      <c r="G222" s="70"/>
      <c r="H222" s="14"/>
      <c r="I222" s="70">
        <v>46357</v>
      </c>
      <c r="J222" s="15" t="s">
        <v>83</v>
      </c>
      <c r="K222" s="72">
        <v>75000</v>
      </c>
      <c r="L222" s="72">
        <v>75000</v>
      </c>
      <c r="M222" s="93"/>
      <c r="N222" s="96"/>
    </row>
    <row r="223" spans="1:14" s="83" customFormat="1" ht="25.5">
      <c r="A223" s="67" t="str">
        <f t="shared" si="4"/>
        <v>5020301000</v>
      </c>
      <c r="B223" s="82" t="s">
        <v>1914</v>
      </c>
      <c r="C223" s="92" t="s">
        <v>140</v>
      </c>
      <c r="D223" s="99" t="s">
        <v>1908</v>
      </c>
      <c r="E223" s="94" t="s">
        <v>109</v>
      </c>
      <c r="F223" s="70">
        <v>46023</v>
      </c>
      <c r="G223" s="70"/>
      <c r="H223" s="14"/>
      <c r="I223" s="70">
        <v>46357</v>
      </c>
      <c r="J223" s="15" t="s">
        <v>83</v>
      </c>
      <c r="K223" s="72">
        <v>6032</v>
      </c>
      <c r="L223" s="72">
        <v>6032</v>
      </c>
      <c r="M223" s="93"/>
      <c r="N223" s="96"/>
    </row>
    <row r="224" spans="1:14" s="83" customFormat="1" ht="25.5">
      <c r="A224" s="67" t="str">
        <f t="shared" si="4"/>
        <v>5020321002</v>
      </c>
      <c r="B224" s="82" t="s">
        <v>1915</v>
      </c>
      <c r="C224" s="92" t="s">
        <v>177</v>
      </c>
      <c r="D224" s="99" t="s">
        <v>1908</v>
      </c>
      <c r="E224" s="94" t="s">
        <v>109</v>
      </c>
      <c r="F224" s="70">
        <v>46023</v>
      </c>
      <c r="G224" s="70"/>
      <c r="H224" s="14"/>
      <c r="I224" s="70">
        <v>46357</v>
      </c>
      <c r="J224" s="15" t="s">
        <v>83</v>
      </c>
      <c r="K224" s="72">
        <v>1450</v>
      </c>
      <c r="L224" s="72">
        <v>1450</v>
      </c>
      <c r="M224" s="93"/>
      <c r="N224" s="96"/>
    </row>
    <row r="225" spans="1:14" s="83" customFormat="1" ht="25.5">
      <c r="A225" s="67" t="str">
        <f t="shared" si="4"/>
        <v>5020311001</v>
      </c>
      <c r="B225" s="82" t="s">
        <v>1917</v>
      </c>
      <c r="C225" s="92" t="s">
        <v>164</v>
      </c>
      <c r="D225" s="99" t="s">
        <v>1916</v>
      </c>
      <c r="E225" s="94" t="s">
        <v>80</v>
      </c>
      <c r="F225" s="70">
        <v>46023</v>
      </c>
      <c r="G225" s="70"/>
      <c r="H225" s="14"/>
      <c r="I225" s="70">
        <v>46357</v>
      </c>
      <c r="J225" s="15" t="s">
        <v>83</v>
      </c>
      <c r="K225" s="72">
        <v>1000000</v>
      </c>
      <c r="L225" s="72">
        <v>1000000</v>
      </c>
      <c r="M225" s="93"/>
      <c r="N225" s="96"/>
    </row>
    <row r="226" spans="1:14" s="83" customFormat="1" ht="25.5">
      <c r="A226" s="67" t="str">
        <f t="shared" si="4"/>
        <v>5020399000</v>
      </c>
      <c r="B226" s="82" t="s">
        <v>1918</v>
      </c>
      <c r="C226" s="92" t="s">
        <v>209</v>
      </c>
      <c r="D226" s="99" t="s">
        <v>1916</v>
      </c>
      <c r="E226" s="94" t="s">
        <v>109</v>
      </c>
      <c r="F226" s="70">
        <v>46023</v>
      </c>
      <c r="G226" s="70"/>
      <c r="H226" s="14"/>
      <c r="I226" s="70">
        <v>46357</v>
      </c>
      <c r="J226" s="15" t="s">
        <v>83</v>
      </c>
      <c r="K226" s="72">
        <v>9768</v>
      </c>
      <c r="L226" s="72">
        <v>9768</v>
      </c>
      <c r="M226" s="93"/>
      <c r="N226" s="96"/>
    </row>
    <row r="227" spans="1:14" s="83" customFormat="1" ht="25.5">
      <c r="A227" s="67" t="str">
        <f t="shared" si="4"/>
        <v>5020399000</v>
      </c>
      <c r="B227" s="82" t="s">
        <v>1919</v>
      </c>
      <c r="C227" s="92" t="s">
        <v>209</v>
      </c>
      <c r="D227" s="99" t="s">
        <v>1916</v>
      </c>
      <c r="E227" s="94" t="s">
        <v>109</v>
      </c>
      <c r="F227" s="70">
        <v>46023</v>
      </c>
      <c r="G227" s="70"/>
      <c r="H227" s="14"/>
      <c r="I227" s="70">
        <v>46357</v>
      </c>
      <c r="J227" s="15" t="s">
        <v>83</v>
      </c>
      <c r="K227" s="72">
        <v>1128</v>
      </c>
      <c r="L227" s="72">
        <v>1128</v>
      </c>
      <c r="M227" s="93"/>
      <c r="N227" s="96"/>
    </row>
    <row r="228" spans="1:14" s="83" customFormat="1" ht="25.5">
      <c r="A228" s="67" t="str">
        <f t="shared" si="4"/>
        <v>5020399000</v>
      </c>
      <c r="B228" s="82" t="s">
        <v>1920</v>
      </c>
      <c r="C228" s="92" t="s">
        <v>209</v>
      </c>
      <c r="D228" s="99" t="s">
        <v>1916</v>
      </c>
      <c r="E228" s="94" t="s">
        <v>109</v>
      </c>
      <c r="F228" s="70">
        <v>46023</v>
      </c>
      <c r="G228" s="70"/>
      <c r="H228" s="14"/>
      <c r="I228" s="70">
        <v>46357</v>
      </c>
      <c r="J228" s="15" t="s">
        <v>83</v>
      </c>
      <c r="K228" s="72">
        <v>1997</v>
      </c>
      <c r="L228" s="72">
        <v>1997</v>
      </c>
      <c r="M228" s="93"/>
      <c r="N228" s="96"/>
    </row>
    <row r="229" spans="1:14" s="83" customFormat="1" ht="25.5">
      <c r="A229" s="67" t="str">
        <f t="shared" si="4"/>
        <v>5020399000</v>
      </c>
      <c r="B229" s="82" t="s">
        <v>1921</v>
      </c>
      <c r="C229" s="92" t="s">
        <v>209</v>
      </c>
      <c r="D229" s="99" t="s">
        <v>1916</v>
      </c>
      <c r="E229" s="94" t="s">
        <v>109</v>
      </c>
      <c r="F229" s="70">
        <v>46023</v>
      </c>
      <c r="G229" s="70"/>
      <c r="H229" s="14"/>
      <c r="I229" s="70">
        <v>46357</v>
      </c>
      <c r="J229" s="15" t="s">
        <v>83</v>
      </c>
      <c r="K229" s="72">
        <v>149500</v>
      </c>
      <c r="L229" s="72">
        <v>149500</v>
      </c>
      <c r="M229" s="93"/>
      <c r="N229" s="96"/>
    </row>
    <row r="230" spans="1:14" s="83" customFormat="1" ht="25.5">
      <c r="A230" s="67" t="str">
        <f t="shared" si="4"/>
        <v>5020301000</v>
      </c>
      <c r="B230" s="82" t="s">
        <v>1922</v>
      </c>
      <c r="C230" s="92" t="s">
        <v>140</v>
      </c>
      <c r="D230" s="99" t="s">
        <v>1916</v>
      </c>
      <c r="E230" s="94" t="s">
        <v>109</v>
      </c>
      <c r="F230" s="70">
        <v>46023</v>
      </c>
      <c r="G230" s="70"/>
      <c r="H230" s="14"/>
      <c r="I230" s="70">
        <v>46357</v>
      </c>
      <c r="J230" s="15" t="s">
        <v>83</v>
      </c>
      <c r="K230" s="72">
        <v>22848</v>
      </c>
      <c r="L230" s="72">
        <v>22848</v>
      </c>
      <c r="M230" s="93"/>
      <c r="N230" s="96"/>
    </row>
    <row r="231" spans="1:14" s="83" customFormat="1" ht="25.5">
      <c r="A231" s="67" t="str">
        <f t="shared" si="4"/>
        <v>5020399000</v>
      </c>
      <c r="B231" s="82" t="s">
        <v>1923</v>
      </c>
      <c r="C231" s="92" t="s">
        <v>209</v>
      </c>
      <c r="D231" s="99" t="s">
        <v>1938</v>
      </c>
      <c r="E231" s="94" t="s">
        <v>109</v>
      </c>
      <c r="F231" s="70">
        <v>46023</v>
      </c>
      <c r="G231" s="70"/>
      <c r="H231" s="14"/>
      <c r="I231" s="70">
        <v>46357</v>
      </c>
      <c r="J231" s="15" t="s">
        <v>83</v>
      </c>
      <c r="K231" s="72">
        <v>202754</v>
      </c>
      <c r="L231" s="72">
        <v>202754</v>
      </c>
      <c r="M231" s="93"/>
      <c r="N231" s="96"/>
    </row>
    <row r="232" spans="1:14" s="83" customFormat="1" ht="25.5">
      <c r="A232" s="67" t="str">
        <f t="shared" si="4"/>
        <v>5020399000</v>
      </c>
      <c r="B232" s="82" t="s">
        <v>1924</v>
      </c>
      <c r="C232" s="92" t="s">
        <v>209</v>
      </c>
      <c r="D232" s="99" t="s">
        <v>1938</v>
      </c>
      <c r="E232" s="94" t="s">
        <v>109</v>
      </c>
      <c r="F232" s="70">
        <v>46023</v>
      </c>
      <c r="G232" s="70"/>
      <c r="H232" s="14"/>
      <c r="I232" s="70">
        <v>46357</v>
      </c>
      <c r="J232" s="15" t="s">
        <v>83</v>
      </c>
      <c r="K232" s="72">
        <v>334208</v>
      </c>
      <c r="L232" s="72">
        <v>334208</v>
      </c>
      <c r="M232" s="93"/>
      <c r="N232" s="96"/>
    </row>
    <row r="233" spans="1:14" s="83" customFormat="1" ht="25.5">
      <c r="A233" s="67" t="str">
        <f t="shared" si="4"/>
        <v>5029903000</v>
      </c>
      <c r="B233" s="82" t="s">
        <v>1926</v>
      </c>
      <c r="C233" s="92" t="s">
        <v>516</v>
      </c>
      <c r="D233" s="99" t="s">
        <v>1925</v>
      </c>
      <c r="E233" s="94" t="s">
        <v>74</v>
      </c>
      <c r="F233" s="70">
        <v>46023</v>
      </c>
      <c r="G233" s="70"/>
      <c r="H233" s="14"/>
      <c r="I233" s="70">
        <v>46357</v>
      </c>
      <c r="J233" s="15" t="s">
        <v>83</v>
      </c>
      <c r="K233" s="72">
        <v>1400000</v>
      </c>
      <c r="L233" s="72">
        <v>1400000</v>
      </c>
      <c r="M233" s="93"/>
      <c r="N233" s="96"/>
    </row>
    <row r="234" spans="1:14" s="83" customFormat="1" ht="25.5">
      <c r="A234" s="67" t="str">
        <f t="shared" si="4"/>
        <v>5020399000</v>
      </c>
      <c r="B234" s="82" t="s">
        <v>1927</v>
      </c>
      <c r="C234" s="92" t="s">
        <v>209</v>
      </c>
      <c r="D234" s="99" t="s">
        <v>1925</v>
      </c>
      <c r="E234" s="94" t="s">
        <v>109</v>
      </c>
      <c r="F234" s="70">
        <v>46023</v>
      </c>
      <c r="G234" s="70"/>
      <c r="H234" s="14"/>
      <c r="I234" s="70">
        <v>46357</v>
      </c>
      <c r="J234" s="15" t="s">
        <v>83</v>
      </c>
      <c r="K234" s="72">
        <v>6238</v>
      </c>
      <c r="L234" s="72">
        <v>6238</v>
      </c>
      <c r="M234" s="93"/>
      <c r="N234" s="96"/>
    </row>
    <row r="235" spans="1:14" s="83" customFormat="1" ht="25.5">
      <c r="A235" s="67" t="str">
        <f t="shared" si="4"/>
        <v>5020399000</v>
      </c>
      <c r="B235" s="82" t="s">
        <v>1928</v>
      </c>
      <c r="C235" s="92" t="s">
        <v>209</v>
      </c>
      <c r="D235" s="99" t="s">
        <v>1925</v>
      </c>
      <c r="E235" s="94" t="s">
        <v>74</v>
      </c>
      <c r="F235" s="70">
        <v>46023</v>
      </c>
      <c r="G235" s="70"/>
      <c r="H235" s="14"/>
      <c r="I235" s="70">
        <v>46357</v>
      </c>
      <c r="J235" s="15" t="s">
        <v>83</v>
      </c>
      <c r="K235" s="72">
        <v>312200</v>
      </c>
      <c r="L235" s="72">
        <v>312200</v>
      </c>
      <c r="M235" s="93"/>
      <c r="N235" s="96"/>
    </row>
    <row r="236" spans="1:14" s="83" customFormat="1" ht="25.5">
      <c r="A236" s="67" t="str">
        <f t="shared" si="4"/>
        <v>5020301000</v>
      </c>
      <c r="B236" s="82" t="s">
        <v>1929</v>
      </c>
      <c r="C236" s="92" t="s">
        <v>140</v>
      </c>
      <c r="D236" s="99" t="s">
        <v>1925</v>
      </c>
      <c r="E236" s="94" t="s">
        <v>74</v>
      </c>
      <c r="F236" s="70">
        <v>46023</v>
      </c>
      <c r="G236" s="70"/>
      <c r="H236" s="14"/>
      <c r="I236" s="70">
        <v>46357</v>
      </c>
      <c r="J236" s="15" t="s">
        <v>83</v>
      </c>
      <c r="K236" s="72">
        <v>67265</v>
      </c>
      <c r="L236" s="72">
        <v>67265</v>
      </c>
      <c r="M236" s="93"/>
      <c r="N236" s="96"/>
    </row>
    <row r="237" spans="1:14" s="83" customFormat="1" ht="25.5">
      <c r="A237" s="67" t="str">
        <f t="shared" si="4"/>
        <v>5029902000</v>
      </c>
      <c r="B237" s="82" t="s">
        <v>1930</v>
      </c>
      <c r="C237" s="92" t="s">
        <v>514</v>
      </c>
      <c r="D237" s="99" t="s">
        <v>1925</v>
      </c>
      <c r="E237" s="94" t="s">
        <v>109</v>
      </c>
      <c r="F237" s="70">
        <v>46023</v>
      </c>
      <c r="G237" s="70"/>
      <c r="H237" s="14"/>
      <c r="I237" s="70">
        <v>46357</v>
      </c>
      <c r="J237" s="15" t="s">
        <v>83</v>
      </c>
      <c r="K237" s="72">
        <v>30000</v>
      </c>
      <c r="L237" s="72">
        <v>30000</v>
      </c>
      <c r="M237" s="93"/>
      <c r="N237" s="96"/>
    </row>
    <row r="238" spans="1:14" s="83" customFormat="1" ht="25.5">
      <c r="A238" s="67" t="str">
        <f t="shared" si="4"/>
        <v>5020399000</v>
      </c>
      <c r="B238" s="82" t="s">
        <v>1931</v>
      </c>
      <c r="C238" s="92" t="s">
        <v>209</v>
      </c>
      <c r="D238" s="99" t="s">
        <v>1925</v>
      </c>
      <c r="E238" s="94" t="s">
        <v>74</v>
      </c>
      <c r="F238" s="70">
        <v>46023</v>
      </c>
      <c r="G238" s="70"/>
      <c r="H238" s="14"/>
      <c r="I238" s="70">
        <v>46357</v>
      </c>
      <c r="J238" s="15" t="s">
        <v>83</v>
      </c>
      <c r="K238" s="72">
        <v>200000</v>
      </c>
      <c r="L238" s="72">
        <v>200000</v>
      </c>
      <c r="M238" s="93"/>
      <c r="N238" s="96"/>
    </row>
    <row r="239" spans="1:14" ht="28.5">
      <c r="A239" s="67" t="str">
        <f t="shared" si="4"/>
        <v>5020399000</v>
      </c>
      <c r="B239" s="79" t="s">
        <v>1939</v>
      </c>
      <c r="C239" s="92" t="s">
        <v>209</v>
      </c>
      <c r="D239" s="68" t="s">
        <v>1933</v>
      </c>
      <c r="E239" s="13" t="s">
        <v>78</v>
      </c>
      <c r="F239" s="70">
        <v>46023</v>
      </c>
      <c r="G239" s="70"/>
      <c r="H239" s="14"/>
      <c r="I239" s="70">
        <v>46357</v>
      </c>
      <c r="J239" s="15" t="s">
        <v>83</v>
      </c>
      <c r="K239" s="107">
        <v>6948</v>
      </c>
      <c r="L239" s="107">
        <v>6948</v>
      </c>
      <c r="M239" s="16"/>
      <c r="N239" s="17"/>
    </row>
    <row r="240" spans="1:14" ht="28.5">
      <c r="A240" s="67" t="str">
        <f t="shared" si="4"/>
        <v>5020301000</v>
      </c>
      <c r="B240" s="79" t="s">
        <v>1940</v>
      </c>
      <c r="C240" s="92" t="s">
        <v>140</v>
      </c>
      <c r="D240" s="68" t="s">
        <v>1933</v>
      </c>
      <c r="E240" s="13" t="s">
        <v>78</v>
      </c>
      <c r="F240" s="70">
        <v>46023</v>
      </c>
      <c r="G240" s="70"/>
      <c r="H240" s="14"/>
      <c r="I240" s="70">
        <v>46357</v>
      </c>
      <c r="J240" s="15" t="s">
        <v>83</v>
      </c>
      <c r="K240" s="106">
        <v>3839</v>
      </c>
      <c r="L240" s="106">
        <v>3839</v>
      </c>
      <c r="M240" s="16"/>
      <c r="N240" s="17"/>
    </row>
    <row r="241" spans="1:14" ht="28.5">
      <c r="A241" s="92" t="s">
        <v>209</v>
      </c>
      <c r="B241" s="79" t="s">
        <v>1939</v>
      </c>
      <c r="C241" s="92" t="s">
        <v>209</v>
      </c>
      <c r="D241" s="109" t="s">
        <v>1934</v>
      </c>
      <c r="E241" s="13" t="s">
        <v>78</v>
      </c>
      <c r="F241" s="70">
        <v>46023</v>
      </c>
      <c r="G241" s="70"/>
      <c r="H241" s="14"/>
      <c r="I241" s="70">
        <v>46357</v>
      </c>
      <c r="J241" s="15" t="s">
        <v>83</v>
      </c>
      <c r="K241" s="106">
        <v>5620</v>
      </c>
      <c r="L241" s="106">
        <v>5620</v>
      </c>
      <c r="M241" s="16"/>
      <c r="N241" s="17"/>
    </row>
    <row r="242" spans="1:14" ht="38.25">
      <c r="A242" s="12" t="s">
        <v>637</v>
      </c>
      <c r="B242" s="82" t="s">
        <v>1941</v>
      </c>
      <c r="C242" s="12" t="s">
        <v>637</v>
      </c>
      <c r="D242" s="109" t="s">
        <v>1932</v>
      </c>
      <c r="E242" s="13" t="s">
        <v>74</v>
      </c>
      <c r="F242" s="70">
        <v>46023</v>
      </c>
      <c r="G242" s="70"/>
      <c r="H242" s="14"/>
      <c r="I242" s="70">
        <v>46357</v>
      </c>
      <c r="J242" s="15" t="s">
        <v>75</v>
      </c>
      <c r="K242" s="110">
        <v>3879600</v>
      </c>
      <c r="L242" s="38"/>
      <c r="M242" s="110">
        <v>3879600</v>
      </c>
      <c r="N242" s="82" t="s">
        <v>2032</v>
      </c>
    </row>
    <row r="243" spans="1:14" ht="38.25">
      <c r="A243" s="12" t="s">
        <v>637</v>
      </c>
      <c r="B243" s="82" t="s">
        <v>1942</v>
      </c>
      <c r="C243" s="12" t="s">
        <v>637</v>
      </c>
      <c r="D243" s="109" t="s">
        <v>1932</v>
      </c>
      <c r="E243" s="13" t="s">
        <v>74</v>
      </c>
      <c r="F243" s="70">
        <v>46023</v>
      </c>
      <c r="G243" s="70"/>
      <c r="H243" s="14"/>
      <c r="I243" s="70">
        <v>46357</v>
      </c>
      <c r="J243" s="15" t="s">
        <v>75</v>
      </c>
      <c r="K243" s="110">
        <v>487600</v>
      </c>
      <c r="L243" s="38"/>
      <c r="M243" s="110">
        <v>487600</v>
      </c>
      <c r="N243" s="82" t="s">
        <v>2032</v>
      </c>
    </row>
    <row r="244" spans="1:14" ht="38.25">
      <c r="A244" s="12" t="s">
        <v>650</v>
      </c>
      <c r="B244" s="82" t="s">
        <v>1943</v>
      </c>
      <c r="C244" s="12" t="s">
        <v>650</v>
      </c>
      <c r="D244" s="109" t="s">
        <v>1932</v>
      </c>
      <c r="E244" s="13" t="s">
        <v>74</v>
      </c>
      <c r="F244" s="70">
        <v>46023</v>
      </c>
      <c r="G244" s="70"/>
      <c r="H244" s="14"/>
      <c r="I244" s="70">
        <v>46357</v>
      </c>
      <c r="J244" s="15" t="s">
        <v>75</v>
      </c>
      <c r="K244" s="110">
        <v>148000</v>
      </c>
      <c r="L244" s="38"/>
      <c r="M244" s="110">
        <v>148000</v>
      </c>
      <c r="N244" s="82" t="s">
        <v>2032</v>
      </c>
    </row>
    <row r="245" spans="1:14" ht="38.25">
      <c r="A245" s="12" t="s">
        <v>650</v>
      </c>
      <c r="B245" s="82" t="s">
        <v>1944</v>
      </c>
      <c r="C245" s="12" t="s">
        <v>650</v>
      </c>
      <c r="D245" s="109" t="s">
        <v>1932</v>
      </c>
      <c r="E245" s="13" t="s">
        <v>74</v>
      </c>
      <c r="F245" s="70">
        <v>46023</v>
      </c>
      <c r="G245" s="70"/>
      <c r="H245" s="14"/>
      <c r="I245" s="70">
        <v>46357</v>
      </c>
      <c r="J245" s="15" t="s">
        <v>75</v>
      </c>
      <c r="K245" s="110">
        <v>640000</v>
      </c>
      <c r="L245" s="38"/>
      <c r="M245" s="110">
        <v>640000</v>
      </c>
      <c r="N245" s="82" t="s">
        <v>2032</v>
      </c>
    </row>
    <row r="246" spans="1:14" ht="38.25">
      <c r="A246" s="12" t="s">
        <v>637</v>
      </c>
      <c r="B246" s="82" t="s">
        <v>1945</v>
      </c>
      <c r="C246" s="12" t="s">
        <v>637</v>
      </c>
      <c r="D246" s="109" t="s">
        <v>1932</v>
      </c>
      <c r="E246" s="13" t="s">
        <v>74</v>
      </c>
      <c r="F246" s="70">
        <v>46023</v>
      </c>
      <c r="G246" s="70"/>
      <c r="H246" s="14"/>
      <c r="I246" s="70">
        <v>46357</v>
      </c>
      <c r="J246" s="15" t="s">
        <v>75</v>
      </c>
      <c r="K246" s="110">
        <v>37551150</v>
      </c>
      <c r="L246" s="38"/>
      <c r="M246" s="110">
        <v>37551150</v>
      </c>
      <c r="N246" s="82" t="s">
        <v>2032</v>
      </c>
    </row>
    <row r="247" spans="1:14" ht="38.25">
      <c r="A247" s="12" t="s">
        <v>650</v>
      </c>
      <c r="B247" s="82" t="s">
        <v>1944</v>
      </c>
      <c r="C247" s="12" t="s">
        <v>650</v>
      </c>
      <c r="D247" s="109" t="s">
        <v>1932</v>
      </c>
      <c r="E247" s="13" t="s">
        <v>74</v>
      </c>
      <c r="F247" s="70">
        <v>46023</v>
      </c>
      <c r="G247" s="70"/>
      <c r="H247" s="14"/>
      <c r="I247" s="70">
        <v>46357</v>
      </c>
      <c r="J247" s="15" t="s">
        <v>75</v>
      </c>
      <c r="K247" s="110">
        <v>10480000</v>
      </c>
      <c r="L247" s="38"/>
      <c r="M247" s="110">
        <v>10480000</v>
      </c>
      <c r="N247" s="82" t="s">
        <v>2032</v>
      </c>
    </row>
    <row r="248" spans="1:14" ht="38.25">
      <c r="A248" s="12" t="s">
        <v>650</v>
      </c>
      <c r="B248" s="82" t="s">
        <v>1946</v>
      </c>
      <c r="C248" s="12" t="s">
        <v>650</v>
      </c>
      <c r="D248" s="109" t="s">
        <v>1932</v>
      </c>
      <c r="E248" s="13" t="s">
        <v>74</v>
      </c>
      <c r="F248" s="70">
        <v>46023</v>
      </c>
      <c r="G248" s="70"/>
      <c r="H248" s="14"/>
      <c r="I248" s="70">
        <v>46357</v>
      </c>
      <c r="J248" s="15" t="s">
        <v>75</v>
      </c>
      <c r="K248" s="110">
        <v>2423500</v>
      </c>
      <c r="L248" s="38"/>
      <c r="M248" s="110">
        <v>2423500</v>
      </c>
      <c r="N248" s="82" t="s">
        <v>2032</v>
      </c>
    </row>
    <row r="249" spans="1:14" ht="38.25">
      <c r="A249" s="12" t="s">
        <v>637</v>
      </c>
      <c r="B249" s="82" t="s">
        <v>1947</v>
      </c>
      <c r="C249" s="12" t="s">
        <v>637</v>
      </c>
      <c r="D249" s="109" t="s">
        <v>1932</v>
      </c>
      <c r="E249" s="13" t="s">
        <v>74</v>
      </c>
      <c r="F249" s="70">
        <v>46023</v>
      </c>
      <c r="G249" s="70"/>
      <c r="H249" s="14"/>
      <c r="I249" s="70">
        <v>46357</v>
      </c>
      <c r="J249" s="15" t="s">
        <v>75</v>
      </c>
      <c r="K249" s="110">
        <v>2055500</v>
      </c>
      <c r="L249" s="38"/>
      <c r="M249" s="110">
        <v>2055500</v>
      </c>
      <c r="N249" s="82" t="s">
        <v>2032</v>
      </c>
    </row>
    <row r="250" spans="1:14" ht="38.25">
      <c r="A250" s="12" t="s">
        <v>650</v>
      </c>
      <c r="B250" s="82" t="s">
        <v>1944</v>
      </c>
      <c r="C250" s="12" t="s">
        <v>650</v>
      </c>
      <c r="D250" s="109" t="s">
        <v>1932</v>
      </c>
      <c r="E250" s="13" t="s">
        <v>74</v>
      </c>
      <c r="F250" s="70">
        <v>46023</v>
      </c>
      <c r="G250" s="70"/>
      <c r="H250" s="14"/>
      <c r="I250" s="70">
        <v>46357</v>
      </c>
      <c r="J250" s="15" t="s">
        <v>75</v>
      </c>
      <c r="K250" s="110">
        <v>320000</v>
      </c>
      <c r="L250" s="38"/>
      <c r="M250" s="110">
        <v>320000</v>
      </c>
      <c r="N250" s="82" t="s">
        <v>2032</v>
      </c>
    </row>
    <row r="251" spans="1:14" ht="38.25">
      <c r="A251" s="12" t="s">
        <v>650</v>
      </c>
      <c r="B251" s="82" t="s">
        <v>1943</v>
      </c>
      <c r="C251" s="12" t="s">
        <v>650</v>
      </c>
      <c r="D251" s="109" t="s">
        <v>1932</v>
      </c>
      <c r="E251" s="13" t="s">
        <v>74</v>
      </c>
      <c r="F251" s="70">
        <v>46023</v>
      </c>
      <c r="G251" s="70"/>
      <c r="H251" s="14"/>
      <c r="I251" s="70">
        <v>46357</v>
      </c>
      <c r="J251" s="15" t="s">
        <v>75</v>
      </c>
      <c r="K251" s="110">
        <v>74000</v>
      </c>
      <c r="L251" s="38"/>
      <c r="M251" s="110">
        <v>74000</v>
      </c>
      <c r="N251" s="82" t="s">
        <v>2032</v>
      </c>
    </row>
    <row r="252" spans="1:14" ht="38.25">
      <c r="A252" s="12" t="s">
        <v>637</v>
      </c>
      <c r="B252" s="82" t="s">
        <v>1948</v>
      </c>
      <c r="C252" s="12" t="s">
        <v>637</v>
      </c>
      <c r="D252" s="109" t="s">
        <v>1932</v>
      </c>
      <c r="E252" s="13" t="s">
        <v>74</v>
      </c>
      <c r="F252" s="70">
        <v>46023</v>
      </c>
      <c r="G252" s="70"/>
      <c r="H252" s="14"/>
      <c r="I252" s="70">
        <v>46357</v>
      </c>
      <c r="J252" s="15" t="s">
        <v>75</v>
      </c>
      <c r="K252" s="110">
        <v>2479800</v>
      </c>
      <c r="L252" s="38"/>
      <c r="M252" s="110">
        <v>2479800</v>
      </c>
      <c r="N252" s="82" t="s">
        <v>2032</v>
      </c>
    </row>
    <row r="253" spans="1:14" ht="38.25">
      <c r="A253" s="12" t="s">
        <v>650</v>
      </c>
      <c r="B253" s="82" t="s">
        <v>1944</v>
      </c>
      <c r="C253" s="12" t="s">
        <v>650</v>
      </c>
      <c r="D253" s="109" t="s">
        <v>1932</v>
      </c>
      <c r="E253" s="13" t="s">
        <v>74</v>
      </c>
      <c r="F253" s="70">
        <v>46023</v>
      </c>
      <c r="G253" s="70"/>
      <c r="H253" s="14"/>
      <c r="I253" s="70">
        <v>46357</v>
      </c>
      <c r="J253" s="15" t="s">
        <v>75</v>
      </c>
      <c r="K253" s="110">
        <v>320000</v>
      </c>
      <c r="L253" s="38"/>
      <c r="M253" s="110">
        <v>320000</v>
      </c>
      <c r="N253" s="82" t="s">
        <v>2032</v>
      </c>
    </row>
    <row r="254" spans="1:14" ht="38.25">
      <c r="A254" s="12" t="s">
        <v>650</v>
      </c>
      <c r="B254" s="82" t="s">
        <v>1943</v>
      </c>
      <c r="C254" s="12" t="s">
        <v>650</v>
      </c>
      <c r="D254" s="109" t="s">
        <v>1932</v>
      </c>
      <c r="E254" s="13" t="s">
        <v>74</v>
      </c>
      <c r="F254" s="70">
        <v>46023</v>
      </c>
      <c r="G254" s="70"/>
      <c r="H254" s="14"/>
      <c r="I254" s="70">
        <v>46357</v>
      </c>
      <c r="J254" s="15" t="s">
        <v>75</v>
      </c>
      <c r="K254" s="110">
        <v>74000</v>
      </c>
      <c r="L254" s="38"/>
      <c r="M254" s="110">
        <v>74000</v>
      </c>
      <c r="N254" s="82" t="s">
        <v>2032</v>
      </c>
    </row>
    <row r="255" spans="1:14" ht="38.25">
      <c r="A255" s="12" t="s">
        <v>637</v>
      </c>
      <c r="B255" s="82" t="s">
        <v>1949</v>
      </c>
      <c r="C255" s="12" t="s">
        <v>637</v>
      </c>
      <c r="D255" s="109" t="s">
        <v>1932</v>
      </c>
      <c r="E255" s="13" t="s">
        <v>74</v>
      </c>
      <c r="F255" s="70">
        <v>46023</v>
      </c>
      <c r="G255" s="70"/>
      <c r="H255" s="14"/>
      <c r="I255" s="70">
        <v>46357</v>
      </c>
      <c r="J255" s="15" t="s">
        <v>75</v>
      </c>
      <c r="K255" s="110">
        <v>7366000</v>
      </c>
      <c r="L255" s="38"/>
      <c r="M255" s="110">
        <v>7366000</v>
      </c>
      <c r="N255" s="82" t="s">
        <v>2032</v>
      </c>
    </row>
    <row r="256" spans="1:14" ht="38.25">
      <c r="A256" s="12" t="s">
        <v>637</v>
      </c>
      <c r="B256" s="82" t="s">
        <v>1950</v>
      </c>
      <c r="C256" s="12" t="s">
        <v>637</v>
      </c>
      <c r="D256" s="109" t="s">
        <v>1932</v>
      </c>
      <c r="E256" s="13" t="s">
        <v>74</v>
      </c>
      <c r="F256" s="70">
        <v>46023</v>
      </c>
      <c r="G256" s="70"/>
      <c r="H256" s="14"/>
      <c r="I256" s="70">
        <v>46357</v>
      </c>
      <c r="J256" s="15" t="s">
        <v>75</v>
      </c>
      <c r="K256" s="110">
        <v>1219000</v>
      </c>
      <c r="L256" s="38"/>
      <c r="M256" s="110">
        <v>1219000</v>
      </c>
      <c r="N256" s="82" t="s">
        <v>2032</v>
      </c>
    </row>
    <row r="257" spans="1:14" ht="38.25">
      <c r="A257" s="12" t="s">
        <v>650</v>
      </c>
      <c r="B257" s="82" t="s">
        <v>1943</v>
      </c>
      <c r="C257" s="12" t="s">
        <v>650</v>
      </c>
      <c r="D257" s="109" t="s">
        <v>1932</v>
      </c>
      <c r="E257" s="13" t="s">
        <v>74</v>
      </c>
      <c r="F257" s="70">
        <v>46023</v>
      </c>
      <c r="G257" s="70"/>
      <c r="H257" s="14"/>
      <c r="I257" s="70">
        <v>46357</v>
      </c>
      <c r="J257" s="15" t="s">
        <v>75</v>
      </c>
      <c r="K257" s="110">
        <v>370000</v>
      </c>
      <c r="L257" s="38"/>
      <c r="M257" s="110">
        <v>370000</v>
      </c>
      <c r="N257" s="82" t="s">
        <v>2032</v>
      </c>
    </row>
    <row r="258" spans="1:14" ht="38.25">
      <c r="A258" s="12" t="s">
        <v>650</v>
      </c>
      <c r="B258" s="82" t="s">
        <v>1944</v>
      </c>
      <c r="C258" s="12" t="s">
        <v>650</v>
      </c>
      <c r="D258" s="109" t="s">
        <v>1932</v>
      </c>
      <c r="E258" s="13" t="s">
        <v>74</v>
      </c>
      <c r="F258" s="70">
        <v>46023</v>
      </c>
      <c r="G258" s="70"/>
      <c r="H258" s="14"/>
      <c r="I258" s="70">
        <v>46357</v>
      </c>
      <c r="J258" s="15" t="s">
        <v>75</v>
      </c>
      <c r="K258" s="110">
        <v>1600000</v>
      </c>
      <c r="L258" s="38"/>
      <c r="M258" s="110">
        <v>1600000</v>
      </c>
      <c r="N258" s="82" t="s">
        <v>2032</v>
      </c>
    </row>
    <row r="259" spans="1:14" ht="38.25">
      <c r="A259" s="12" t="s">
        <v>637</v>
      </c>
      <c r="B259" s="82" t="s">
        <v>1951</v>
      </c>
      <c r="C259" s="12" t="s">
        <v>637</v>
      </c>
      <c r="D259" s="109" t="s">
        <v>1932</v>
      </c>
      <c r="E259" s="13" t="s">
        <v>74</v>
      </c>
      <c r="F259" s="70">
        <v>46023</v>
      </c>
      <c r="G259" s="70"/>
      <c r="H259" s="14"/>
      <c r="I259" s="70">
        <v>46357</v>
      </c>
      <c r="J259" s="15" t="s">
        <v>75</v>
      </c>
      <c r="K259" s="110">
        <v>375000</v>
      </c>
      <c r="L259" s="38"/>
      <c r="M259" s="110">
        <v>375000</v>
      </c>
      <c r="N259" s="82" t="s">
        <v>2032</v>
      </c>
    </row>
    <row r="260" spans="1:14" ht="38.25">
      <c r="A260" s="12" t="s">
        <v>637</v>
      </c>
      <c r="B260" s="82" t="s">
        <v>1952</v>
      </c>
      <c r="C260" s="12" t="s">
        <v>637</v>
      </c>
      <c r="D260" s="109" t="s">
        <v>1932</v>
      </c>
      <c r="E260" s="13" t="s">
        <v>74</v>
      </c>
      <c r="F260" s="70">
        <v>46023</v>
      </c>
      <c r="G260" s="70"/>
      <c r="H260" s="14"/>
      <c r="I260" s="70">
        <v>46357</v>
      </c>
      <c r="J260" s="15" t="s">
        <v>75</v>
      </c>
      <c r="K260" s="110">
        <v>215766</v>
      </c>
      <c r="L260" s="38"/>
      <c r="M260" s="110">
        <v>215766</v>
      </c>
      <c r="N260" s="82" t="s">
        <v>2032</v>
      </c>
    </row>
    <row r="261" spans="1:14" ht="38.25">
      <c r="A261" s="12" t="s">
        <v>637</v>
      </c>
      <c r="B261" s="82" t="s">
        <v>1953</v>
      </c>
      <c r="C261" s="12" t="s">
        <v>637</v>
      </c>
      <c r="D261" s="109" t="s">
        <v>1932</v>
      </c>
      <c r="E261" s="13" t="s">
        <v>74</v>
      </c>
      <c r="F261" s="70">
        <v>46023</v>
      </c>
      <c r="G261" s="70"/>
      <c r="H261" s="14"/>
      <c r="I261" s="70">
        <v>46357</v>
      </c>
      <c r="J261" s="15" t="s">
        <v>75</v>
      </c>
      <c r="K261" s="110">
        <v>152000</v>
      </c>
      <c r="L261" s="38"/>
      <c r="M261" s="110">
        <v>152000</v>
      </c>
      <c r="N261" s="82" t="s">
        <v>2032</v>
      </c>
    </row>
    <row r="262" spans="1:14" ht="38.25">
      <c r="A262" s="12" t="s">
        <v>637</v>
      </c>
      <c r="B262" s="82" t="s">
        <v>1954</v>
      </c>
      <c r="C262" s="12" t="s">
        <v>637</v>
      </c>
      <c r="D262" s="109" t="s">
        <v>1932</v>
      </c>
      <c r="E262" s="13" t="s">
        <v>74</v>
      </c>
      <c r="F262" s="70">
        <v>46023</v>
      </c>
      <c r="G262" s="70"/>
      <c r="H262" s="14"/>
      <c r="I262" s="70">
        <v>46357</v>
      </c>
      <c r="J262" s="15" t="s">
        <v>75</v>
      </c>
      <c r="K262" s="110">
        <v>112000</v>
      </c>
      <c r="L262" s="38"/>
      <c r="M262" s="110">
        <v>112000</v>
      </c>
      <c r="N262" s="82" t="s">
        <v>2032</v>
      </c>
    </row>
    <row r="263" spans="1:14" ht="38.25">
      <c r="A263" s="12" t="s">
        <v>637</v>
      </c>
      <c r="B263" s="82" t="s">
        <v>1955</v>
      </c>
      <c r="C263" s="12" t="s">
        <v>637</v>
      </c>
      <c r="D263" s="109" t="s">
        <v>1932</v>
      </c>
      <c r="E263" s="13" t="s">
        <v>74</v>
      </c>
      <c r="F263" s="70">
        <v>46023</v>
      </c>
      <c r="G263" s="70"/>
      <c r="H263" s="14"/>
      <c r="I263" s="70">
        <v>46357</v>
      </c>
      <c r="J263" s="15" t="s">
        <v>75</v>
      </c>
      <c r="K263" s="110">
        <v>240000</v>
      </c>
      <c r="L263" s="38"/>
      <c r="M263" s="110">
        <v>240000</v>
      </c>
      <c r="N263" s="82" t="s">
        <v>2032</v>
      </c>
    </row>
    <row r="264" spans="1:14" ht="38.25">
      <c r="A264" s="12" t="s">
        <v>637</v>
      </c>
      <c r="B264" s="82" t="s">
        <v>1956</v>
      </c>
      <c r="C264" s="12" t="s">
        <v>637</v>
      </c>
      <c r="D264" s="109" t="s">
        <v>1932</v>
      </c>
      <c r="E264" s="13" t="s">
        <v>74</v>
      </c>
      <c r="F264" s="70">
        <v>46023</v>
      </c>
      <c r="G264" s="70"/>
      <c r="H264" s="14"/>
      <c r="I264" s="70">
        <v>46357</v>
      </c>
      <c r="J264" s="15" t="s">
        <v>75</v>
      </c>
      <c r="K264" s="110">
        <v>56848.03</v>
      </c>
      <c r="L264" s="106"/>
      <c r="M264" s="110">
        <v>56848.03</v>
      </c>
      <c r="N264" s="82" t="s">
        <v>2032</v>
      </c>
    </row>
    <row r="265" spans="1:14" ht="38.25">
      <c r="A265" s="12" t="s">
        <v>650</v>
      </c>
      <c r="B265" s="82" t="s">
        <v>1957</v>
      </c>
      <c r="C265" s="12" t="s">
        <v>650</v>
      </c>
      <c r="D265" s="109" t="s">
        <v>1932</v>
      </c>
      <c r="E265" s="13" t="s">
        <v>74</v>
      </c>
      <c r="F265" s="70">
        <v>46023</v>
      </c>
      <c r="G265" s="70"/>
      <c r="H265" s="14"/>
      <c r="I265" s="70">
        <v>46357</v>
      </c>
      <c r="J265" s="15" t="s">
        <v>75</v>
      </c>
      <c r="K265" s="110">
        <v>912375</v>
      </c>
      <c r="L265" s="38"/>
      <c r="M265" s="110">
        <v>912375</v>
      </c>
      <c r="N265" s="82" t="s">
        <v>2032</v>
      </c>
    </row>
    <row r="266" spans="1:14" ht="38.25">
      <c r="A266" s="12" t="s">
        <v>650</v>
      </c>
      <c r="B266" s="82" t="s">
        <v>1958</v>
      </c>
      <c r="C266" s="12" t="s">
        <v>650</v>
      </c>
      <c r="D266" s="109" t="s">
        <v>1932</v>
      </c>
      <c r="E266" s="13" t="s">
        <v>74</v>
      </c>
      <c r="F266" s="70">
        <v>46023</v>
      </c>
      <c r="G266" s="70"/>
      <c r="H266" s="14"/>
      <c r="I266" s="70">
        <v>46357</v>
      </c>
      <c r="J266" s="15" t="s">
        <v>75</v>
      </c>
      <c r="K266" s="110">
        <v>5799000</v>
      </c>
      <c r="L266" s="38"/>
      <c r="M266" s="110">
        <v>5799000</v>
      </c>
      <c r="N266" s="82" t="s">
        <v>2032</v>
      </c>
    </row>
    <row r="267" spans="1:14" ht="51">
      <c r="A267" s="12" t="s">
        <v>637</v>
      </c>
      <c r="B267" s="82" t="s">
        <v>1959</v>
      </c>
      <c r="C267" s="12" t="s">
        <v>637</v>
      </c>
      <c r="D267" s="109" t="s">
        <v>1932</v>
      </c>
      <c r="E267" s="13" t="s">
        <v>74</v>
      </c>
      <c r="F267" s="70">
        <v>46023</v>
      </c>
      <c r="G267" s="70"/>
      <c r="H267" s="14"/>
      <c r="I267" s="70">
        <v>46357</v>
      </c>
      <c r="J267" s="15" t="s">
        <v>75</v>
      </c>
      <c r="K267" s="110">
        <v>7993305.540000001</v>
      </c>
      <c r="L267" s="38"/>
      <c r="M267" s="110">
        <v>7993305.540000001</v>
      </c>
      <c r="N267" s="82" t="s">
        <v>2033</v>
      </c>
    </row>
    <row r="268" spans="1:14" ht="51">
      <c r="A268" s="12" t="s">
        <v>637</v>
      </c>
      <c r="B268" s="82" t="s">
        <v>1960</v>
      </c>
      <c r="C268" s="12" t="s">
        <v>637</v>
      </c>
      <c r="D268" s="109" t="s">
        <v>1932</v>
      </c>
      <c r="E268" s="13" t="s">
        <v>74</v>
      </c>
      <c r="F268" s="70">
        <v>46023</v>
      </c>
      <c r="G268" s="70"/>
      <c r="H268" s="14"/>
      <c r="I268" s="70">
        <v>46357</v>
      </c>
      <c r="J268" s="15" t="s">
        <v>75</v>
      </c>
      <c r="K268" s="110">
        <v>19790208</v>
      </c>
      <c r="L268" s="38"/>
      <c r="M268" s="110">
        <v>19790208</v>
      </c>
      <c r="N268" s="82" t="s">
        <v>2033</v>
      </c>
    </row>
    <row r="269" spans="1:14" ht="51">
      <c r="A269" s="12" t="s">
        <v>637</v>
      </c>
      <c r="B269" s="82" t="s">
        <v>1961</v>
      </c>
      <c r="C269" s="12" t="s">
        <v>637</v>
      </c>
      <c r="D269" s="109" t="s">
        <v>1932</v>
      </c>
      <c r="E269" s="13" t="s">
        <v>74</v>
      </c>
      <c r="F269" s="70">
        <v>46023</v>
      </c>
      <c r="G269" s="70"/>
      <c r="H269" s="14"/>
      <c r="I269" s="70">
        <v>46357</v>
      </c>
      <c r="J269" s="15" t="s">
        <v>75</v>
      </c>
      <c r="K269" s="110">
        <v>3440880</v>
      </c>
      <c r="L269" s="38"/>
      <c r="M269" s="110">
        <v>3440880</v>
      </c>
      <c r="N269" s="82" t="s">
        <v>2033</v>
      </c>
    </row>
    <row r="270" spans="1:14" ht="51">
      <c r="A270" s="12" t="s">
        <v>637</v>
      </c>
      <c r="B270" s="82" t="s">
        <v>1962</v>
      </c>
      <c r="C270" s="12" t="s">
        <v>637</v>
      </c>
      <c r="D270" s="109" t="s">
        <v>1932</v>
      </c>
      <c r="E270" s="13" t="s">
        <v>74</v>
      </c>
      <c r="F270" s="70">
        <v>46023</v>
      </c>
      <c r="G270" s="70"/>
      <c r="H270" s="14"/>
      <c r="I270" s="70">
        <v>46357</v>
      </c>
      <c r="J270" s="15" t="s">
        <v>75</v>
      </c>
      <c r="K270" s="110">
        <v>564127.20000000007</v>
      </c>
      <c r="L270" s="38"/>
      <c r="M270" s="110">
        <v>564127.20000000007</v>
      </c>
      <c r="N270" s="82" t="s">
        <v>2033</v>
      </c>
    </row>
    <row r="271" spans="1:14" ht="51">
      <c r="A271" s="12" t="s">
        <v>637</v>
      </c>
      <c r="B271" s="82" t="s">
        <v>1963</v>
      </c>
      <c r="C271" s="12" t="s">
        <v>637</v>
      </c>
      <c r="D271" s="109" t="s">
        <v>1932</v>
      </c>
      <c r="E271" s="13" t="s">
        <v>74</v>
      </c>
      <c r="F271" s="70">
        <v>46023</v>
      </c>
      <c r="G271" s="70"/>
      <c r="H271" s="14"/>
      <c r="I271" s="70">
        <v>46357</v>
      </c>
      <c r="J271" s="15" t="s">
        <v>75</v>
      </c>
      <c r="K271" s="110">
        <v>4460814.72</v>
      </c>
      <c r="L271" s="38"/>
      <c r="M271" s="110">
        <v>4460814.72</v>
      </c>
      <c r="N271" s="82" t="s">
        <v>2033</v>
      </c>
    </row>
    <row r="272" spans="1:14" ht="51">
      <c r="A272" s="12" t="s">
        <v>637</v>
      </c>
      <c r="B272" s="82" t="s">
        <v>1964</v>
      </c>
      <c r="C272" s="12" t="s">
        <v>637</v>
      </c>
      <c r="D272" s="109" t="s">
        <v>1932</v>
      </c>
      <c r="E272" s="13" t="s">
        <v>74</v>
      </c>
      <c r="F272" s="70">
        <v>46023</v>
      </c>
      <c r="G272" s="70"/>
      <c r="H272" s="14"/>
      <c r="I272" s="70">
        <v>46357</v>
      </c>
      <c r="J272" s="15" t="s">
        <v>75</v>
      </c>
      <c r="K272" s="110">
        <v>3024000</v>
      </c>
      <c r="L272" s="38"/>
      <c r="M272" s="110">
        <v>3024000</v>
      </c>
      <c r="N272" s="82" t="s">
        <v>2033</v>
      </c>
    </row>
    <row r="273" spans="1:14" ht="51">
      <c r="A273" s="12" t="s">
        <v>637</v>
      </c>
      <c r="B273" s="82" t="s">
        <v>1965</v>
      </c>
      <c r="C273" s="12" t="s">
        <v>637</v>
      </c>
      <c r="D273" s="109" t="s">
        <v>1932</v>
      </c>
      <c r="E273" s="13" t="s">
        <v>74</v>
      </c>
      <c r="F273" s="70">
        <v>46023</v>
      </c>
      <c r="G273" s="70"/>
      <c r="H273" s="14"/>
      <c r="I273" s="70">
        <v>46357</v>
      </c>
      <c r="J273" s="15" t="s">
        <v>75</v>
      </c>
      <c r="K273" s="110">
        <v>9900000</v>
      </c>
      <c r="L273" s="38"/>
      <c r="M273" s="110">
        <v>9900000</v>
      </c>
      <c r="N273" s="82" t="s">
        <v>2033</v>
      </c>
    </row>
    <row r="274" spans="1:14" ht="51">
      <c r="A274" s="12" t="s">
        <v>637</v>
      </c>
      <c r="B274" s="82" t="s">
        <v>1966</v>
      </c>
      <c r="C274" s="12" t="s">
        <v>637</v>
      </c>
      <c r="D274" s="109" t="s">
        <v>1932</v>
      </c>
      <c r="E274" s="13" t="s">
        <v>74</v>
      </c>
      <c r="F274" s="70">
        <v>46023</v>
      </c>
      <c r="G274" s="70"/>
      <c r="H274" s="14"/>
      <c r="I274" s="70">
        <v>46357</v>
      </c>
      <c r="J274" s="15" t="s">
        <v>75</v>
      </c>
      <c r="K274" s="110">
        <v>28800000</v>
      </c>
      <c r="L274" s="38"/>
      <c r="M274" s="110">
        <v>28800000</v>
      </c>
      <c r="N274" s="82" t="s">
        <v>2033</v>
      </c>
    </row>
    <row r="275" spans="1:14" ht="38.25">
      <c r="A275" s="12" t="s">
        <v>637</v>
      </c>
      <c r="B275" s="82" t="s">
        <v>1967</v>
      </c>
      <c r="C275" s="12" t="s">
        <v>637</v>
      </c>
      <c r="D275" s="109" t="s">
        <v>1932</v>
      </c>
      <c r="E275" s="13" t="s">
        <v>74</v>
      </c>
      <c r="F275" s="70">
        <v>46023</v>
      </c>
      <c r="G275" s="70"/>
      <c r="H275" s="14"/>
      <c r="I275" s="70">
        <v>46357</v>
      </c>
      <c r="J275" s="15" t="s">
        <v>75</v>
      </c>
      <c r="K275" s="110">
        <v>4440725.3000000007</v>
      </c>
      <c r="L275" s="38"/>
      <c r="M275" s="110">
        <v>4440725.3000000007</v>
      </c>
      <c r="N275" s="82" t="s">
        <v>2034</v>
      </c>
    </row>
    <row r="276" spans="1:14" ht="38.25">
      <c r="A276" s="12" t="s">
        <v>637</v>
      </c>
      <c r="B276" s="82" t="s">
        <v>1968</v>
      </c>
      <c r="C276" s="12" t="s">
        <v>637</v>
      </c>
      <c r="D276" s="109" t="s">
        <v>1932</v>
      </c>
      <c r="E276" s="13" t="s">
        <v>74</v>
      </c>
      <c r="F276" s="70">
        <v>46023</v>
      </c>
      <c r="G276" s="70"/>
      <c r="H276" s="14"/>
      <c r="I276" s="70">
        <v>46357</v>
      </c>
      <c r="J276" s="15" t="s">
        <v>75</v>
      </c>
      <c r="K276" s="110">
        <v>22098000</v>
      </c>
      <c r="L276" s="38"/>
      <c r="M276" s="110">
        <v>22098000</v>
      </c>
      <c r="N276" s="82" t="s">
        <v>2034</v>
      </c>
    </row>
    <row r="277" spans="1:14" ht="38.25">
      <c r="A277" s="12" t="s">
        <v>637</v>
      </c>
      <c r="B277" s="82" t="s">
        <v>1942</v>
      </c>
      <c r="C277" s="12" t="s">
        <v>637</v>
      </c>
      <c r="D277" s="109" t="s">
        <v>1932</v>
      </c>
      <c r="E277" s="13" t="s">
        <v>74</v>
      </c>
      <c r="F277" s="70">
        <v>46023</v>
      </c>
      <c r="G277" s="70"/>
      <c r="H277" s="14"/>
      <c r="I277" s="70">
        <v>46357</v>
      </c>
      <c r="J277" s="15" t="s">
        <v>75</v>
      </c>
      <c r="K277" s="110">
        <v>3657000</v>
      </c>
      <c r="L277" s="38"/>
      <c r="M277" s="110">
        <v>3657000</v>
      </c>
      <c r="N277" s="82" t="s">
        <v>2034</v>
      </c>
    </row>
    <row r="278" spans="1:14" ht="242.25">
      <c r="A278" s="12" t="s">
        <v>650</v>
      </c>
      <c r="B278" s="82" t="s">
        <v>1969</v>
      </c>
      <c r="C278" s="12" t="s">
        <v>650</v>
      </c>
      <c r="D278" s="109" t="s">
        <v>1932</v>
      </c>
      <c r="E278" s="13" t="s">
        <v>74</v>
      </c>
      <c r="F278" s="70">
        <v>46023</v>
      </c>
      <c r="G278" s="70"/>
      <c r="H278" s="14"/>
      <c r="I278" s="70">
        <v>46357</v>
      </c>
      <c r="J278" s="15" t="s">
        <v>75</v>
      </c>
      <c r="K278" s="110">
        <v>1110000</v>
      </c>
      <c r="L278" s="38"/>
      <c r="M278" s="110">
        <v>1110000</v>
      </c>
      <c r="N278" s="82" t="s">
        <v>2034</v>
      </c>
    </row>
    <row r="279" spans="1:14" ht="409.5">
      <c r="A279" s="12" t="s">
        <v>650</v>
      </c>
      <c r="B279" s="82" t="s">
        <v>1970</v>
      </c>
      <c r="C279" s="12" t="s">
        <v>650</v>
      </c>
      <c r="D279" s="109" t="s">
        <v>1932</v>
      </c>
      <c r="E279" s="13" t="s">
        <v>1733</v>
      </c>
      <c r="F279" s="70">
        <v>46023</v>
      </c>
      <c r="G279" s="70"/>
      <c r="H279" s="14"/>
      <c r="I279" s="70">
        <v>46357</v>
      </c>
      <c r="J279" s="15" t="s">
        <v>75</v>
      </c>
      <c r="K279" s="110">
        <v>4800000</v>
      </c>
      <c r="L279" s="38"/>
      <c r="M279" s="110">
        <v>4800000</v>
      </c>
      <c r="N279" s="82" t="s">
        <v>2034</v>
      </c>
    </row>
    <row r="280" spans="1:14" ht="38.25">
      <c r="A280" s="12" t="s">
        <v>637</v>
      </c>
      <c r="B280" s="82" t="s">
        <v>1960</v>
      </c>
      <c r="C280" s="12" t="s">
        <v>637</v>
      </c>
      <c r="D280" s="109" t="s">
        <v>1932</v>
      </c>
      <c r="E280" s="13" t="s">
        <v>1733</v>
      </c>
      <c r="F280" s="70">
        <v>46023</v>
      </c>
      <c r="G280" s="70"/>
      <c r="H280" s="14"/>
      <c r="I280" s="70">
        <v>46357</v>
      </c>
      <c r="J280" s="15" t="s">
        <v>75</v>
      </c>
      <c r="K280" s="110">
        <v>8044800</v>
      </c>
      <c r="L280" s="38"/>
      <c r="M280" s="110">
        <v>8044800</v>
      </c>
      <c r="N280" s="82" t="s">
        <v>2034</v>
      </c>
    </row>
    <row r="281" spans="1:14" ht="38.25">
      <c r="A281" s="12" t="s">
        <v>637</v>
      </c>
      <c r="B281" s="82" t="s">
        <v>1961</v>
      </c>
      <c r="C281" s="12" t="s">
        <v>637</v>
      </c>
      <c r="D281" s="109" t="s">
        <v>1932</v>
      </c>
      <c r="E281" s="13" t="s">
        <v>1733</v>
      </c>
      <c r="F281" s="70">
        <v>46023</v>
      </c>
      <c r="G281" s="70"/>
      <c r="H281" s="14"/>
      <c r="I281" s="70">
        <v>46357</v>
      </c>
      <c r="J281" s="15" t="s">
        <v>75</v>
      </c>
      <c r="K281" s="110">
        <v>1911600</v>
      </c>
      <c r="L281" s="38"/>
      <c r="M281" s="110">
        <v>1911600</v>
      </c>
      <c r="N281" s="82" t="s">
        <v>2034</v>
      </c>
    </row>
    <row r="282" spans="1:14" ht="38.25">
      <c r="A282" s="12" t="s">
        <v>637</v>
      </c>
      <c r="B282" s="82" t="s">
        <v>1962</v>
      </c>
      <c r="C282" s="12" t="s">
        <v>637</v>
      </c>
      <c r="D282" s="109" t="s">
        <v>1932</v>
      </c>
      <c r="E282" s="13" t="s">
        <v>1733</v>
      </c>
      <c r="F282" s="70">
        <v>46023</v>
      </c>
      <c r="G282" s="70"/>
      <c r="H282" s="14"/>
      <c r="I282" s="70">
        <v>46357</v>
      </c>
      <c r="J282" s="15" t="s">
        <v>75</v>
      </c>
      <c r="K282" s="110">
        <v>313404</v>
      </c>
      <c r="L282" s="38"/>
      <c r="M282" s="110">
        <v>313404</v>
      </c>
      <c r="N282" s="82" t="s">
        <v>2034</v>
      </c>
    </row>
    <row r="283" spans="1:14" ht="38.25">
      <c r="A283" s="12" t="s">
        <v>637</v>
      </c>
      <c r="B283" s="82" t="s">
        <v>1963</v>
      </c>
      <c r="C283" s="12" t="s">
        <v>637</v>
      </c>
      <c r="D283" s="109" t="s">
        <v>1932</v>
      </c>
      <c r="E283" s="13" t="s">
        <v>1733</v>
      </c>
      <c r="F283" s="70">
        <v>46023</v>
      </c>
      <c r="G283" s="70"/>
      <c r="H283" s="14"/>
      <c r="I283" s="70">
        <v>46357</v>
      </c>
      <c r="J283" s="15" t="s">
        <v>75</v>
      </c>
      <c r="K283" s="110">
        <v>2478230.4</v>
      </c>
      <c r="L283" s="38"/>
      <c r="M283" s="110">
        <v>2478230.4</v>
      </c>
      <c r="N283" s="82" t="s">
        <v>2034</v>
      </c>
    </row>
    <row r="284" spans="1:14" ht="38.25">
      <c r="A284" s="12" t="s">
        <v>637</v>
      </c>
      <c r="B284" s="82" t="s">
        <v>1971</v>
      </c>
      <c r="C284" s="12" t="s">
        <v>637</v>
      </c>
      <c r="D284" s="109" t="s">
        <v>1932</v>
      </c>
      <c r="E284" s="13" t="s">
        <v>1733</v>
      </c>
      <c r="F284" s="70">
        <v>46023</v>
      </c>
      <c r="G284" s="70"/>
      <c r="H284" s="14"/>
      <c r="I284" s="70">
        <v>46357</v>
      </c>
      <c r="J284" s="15" t="s">
        <v>75</v>
      </c>
      <c r="K284" s="110">
        <v>1680000</v>
      </c>
      <c r="L284" s="38"/>
      <c r="M284" s="110">
        <v>1680000</v>
      </c>
      <c r="N284" s="82" t="s">
        <v>2034</v>
      </c>
    </row>
    <row r="285" spans="1:14" ht="38.25">
      <c r="A285" s="12" t="s">
        <v>637</v>
      </c>
      <c r="B285" s="82" t="s">
        <v>1965</v>
      </c>
      <c r="C285" s="12" t="s">
        <v>637</v>
      </c>
      <c r="D285" s="109" t="s">
        <v>1932</v>
      </c>
      <c r="E285" s="13" t="s">
        <v>1733</v>
      </c>
      <c r="F285" s="70">
        <v>46023</v>
      </c>
      <c r="G285" s="70"/>
      <c r="H285" s="14"/>
      <c r="I285" s="70">
        <v>46357</v>
      </c>
      <c r="J285" s="15" t="s">
        <v>75</v>
      </c>
      <c r="K285" s="110">
        <v>5500000</v>
      </c>
      <c r="L285" s="38"/>
      <c r="M285" s="110">
        <v>5500000</v>
      </c>
      <c r="N285" s="82" t="s">
        <v>2034</v>
      </c>
    </row>
    <row r="286" spans="1:14" ht="38.25">
      <c r="A286" s="12" t="s">
        <v>637</v>
      </c>
      <c r="B286" s="82" t="s">
        <v>1972</v>
      </c>
      <c r="C286" s="12" t="s">
        <v>637</v>
      </c>
      <c r="D286" s="109" t="s">
        <v>1932</v>
      </c>
      <c r="E286" s="13" t="s">
        <v>1733</v>
      </c>
      <c r="F286" s="70">
        <v>46023</v>
      </c>
      <c r="G286" s="70"/>
      <c r="H286" s="14"/>
      <c r="I286" s="70">
        <v>46357</v>
      </c>
      <c r="J286" s="15" t="s">
        <v>75</v>
      </c>
      <c r="K286" s="110">
        <v>16000000</v>
      </c>
      <c r="L286" s="106"/>
      <c r="M286" s="110">
        <v>16000000</v>
      </c>
      <c r="N286" s="82" t="s">
        <v>2034</v>
      </c>
    </row>
    <row r="287" spans="1:14" ht="38.25">
      <c r="A287" s="12" t="s">
        <v>637</v>
      </c>
      <c r="B287" s="82" t="s">
        <v>1973</v>
      </c>
      <c r="C287" s="12" t="s">
        <v>637</v>
      </c>
      <c r="D287" s="109" t="s">
        <v>1932</v>
      </c>
      <c r="E287" s="13" t="s">
        <v>1733</v>
      </c>
      <c r="F287" s="70">
        <v>46023</v>
      </c>
      <c r="G287" s="70"/>
      <c r="H287" s="14"/>
      <c r="I287" s="70">
        <v>46357</v>
      </c>
      <c r="J287" s="15" t="s">
        <v>75</v>
      </c>
      <c r="K287" s="110">
        <v>2895000</v>
      </c>
      <c r="L287" s="38"/>
      <c r="M287" s="110">
        <v>2895000</v>
      </c>
      <c r="N287" s="82" t="s">
        <v>2035</v>
      </c>
    </row>
    <row r="288" spans="1:14" ht="38.25">
      <c r="A288" s="12" t="s">
        <v>637</v>
      </c>
      <c r="B288" s="82" t="s">
        <v>1974</v>
      </c>
      <c r="C288" s="12" t="s">
        <v>637</v>
      </c>
      <c r="D288" s="109" t="s">
        <v>1932</v>
      </c>
      <c r="E288" s="13" t="s">
        <v>1733</v>
      </c>
      <c r="F288" s="70">
        <v>46023</v>
      </c>
      <c r="G288" s="70"/>
      <c r="H288" s="14"/>
      <c r="I288" s="70">
        <v>46357</v>
      </c>
      <c r="J288" s="15" t="s">
        <v>75</v>
      </c>
      <c r="K288" s="110">
        <v>1930000</v>
      </c>
      <c r="L288" s="38"/>
      <c r="M288" s="110">
        <v>1930000</v>
      </c>
      <c r="N288" s="82" t="s">
        <v>2035</v>
      </c>
    </row>
    <row r="289" spans="1:14" ht="38.25">
      <c r="A289" s="12" t="s">
        <v>637</v>
      </c>
      <c r="B289" s="82" t="s">
        <v>1975</v>
      </c>
      <c r="C289" s="12" t="s">
        <v>637</v>
      </c>
      <c r="D289" s="109" t="s">
        <v>1932</v>
      </c>
      <c r="E289" s="13" t="s">
        <v>1733</v>
      </c>
      <c r="F289" s="70">
        <v>46023</v>
      </c>
      <c r="G289" s="70"/>
      <c r="H289" s="14"/>
      <c r="I289" s="70">
        <v>46357</v>
      </c>
      <c r="J289" s="15" t="s">
        <v>75</v>
      </c>
      <c r="K289" s="110">
        <v>2243744</v>
      </c>
      <c r="L289" s="38"/>
      <c r="M289" s="110">
        <v>2243744</v>
      </c>
      <c r="N289" s="82" t="s">
        <v>2035</v>
      </c>
    </row>
    <row r="290" spans="1:14" ht="38.25">
      <c r="A290" s="12" t="s">
        <v>637</v>
      </c>
      <c r="B290" s="82" t="s">
        <v>1976</v>
      </c>
      <c r="C290" s="12" t="s">
        <v>637</v>
      </c>
      <c r="D290" s="109" t="s">
        <v>1932</v>
      </c>
      <c r="E290" s="13" t="s">
        <v>1733</v>
      </c>
      <c r="F290" s="70">
        <v>46023</v>
      </c>
      <c r="G290" s="70"/>
      <c r="H290" s="14"/>
      <c r="I290" s="70">
        <v>46357</v>
      </c>
      <c r="J290" s="15" t="s">
        <v>75</v>
      </c>
      <c r="K290" s="110">
        <v>14073000</v>
      </c>
      <c r="L290" s="38"/>
      <c r="M290" s="110">
        <v>14073000</v>
      </c>
      <c r="N290" s="82" t="s">
        <v>2035</v>
      </c>
    </row>
    <row r="291" spans="1:14" ht="38.25">
      <c r="A291" s="12" t="s">
        <v>637</v>
      </c>
      <c r="B291" s="82" t="s">
        <v>1975</v>
      </c>
      <c r="C291" s="12" t="s">
        <v>637</v>
      </c>
      <c r="D291" s="109" t="s">
        <v>1932</v>
      </c>
      <c r="E291" s="13" t="s">
        <v>1733</v>
      </c>
      <c r="F291" s="70">
        <v>46023</v>
      </c>
      <c r="G291" s="70"/>
      <c r="H291" s="14"/>
      <c r="I291" s="70">
        <v>46357</v>
      </c>
      <c r="J291" s="15" t="s">
        <v>75</v>
      </c>
      <c r="K291" s="110">
        <v>1402340</v>
      </c>
      <c r="L291" s="38"/>
      <c r="M291" s="110">
        <v>1402340</v>
      </c>
      <c r="N291" s="82" t="s">
        <v>2035</v>
      </c>
    </row>
    <row r="292" spans="1:14" ht="38.25">
      <c r="A292" s="12" t="s">
        <v>637</v>
      </c>
      <c r="B292" s="82" t="s">
        <v>1964</v>
      </c>
      <c r="C292" s="12" t="s">
        <v>637</v>
      </c>
      <c r="D292" s="109" t="s">
        <v>1932</v>
      </c>
      <c r="E292" s="13" t="s">
        <v>1733</v>
      </c>
      <c r="F292" s="70">
        <v>46023</v>
      </c>
      <c r="G292" s="70"/>
      <c r="H292" s="14"/>
      <c r="I292" s="70">
        <v>46357</v>
      </c>
      <c r="J292" s="15" t="s">
        <v>75</v>
      </c>
      <c r="K292" s="110">
        <v>2016000</v>
      </c>
      <c r="L292" s="38"/>
      <c r="M292" s="110">
        <v>2016000</v>
      </c>
      <c r="N292" s="82" t="s">
        <v>2035</v>
      </c>
    </row>
    <row r="293" spans="1:14" ht="38.25">
      <c r="A293" s="12" t="s">
        <v>637</v>
      </c>
      <c r="B293" s="82" t="s">
        <v>1975</v>
      </c>
      <c r="C293" s="12" t="s">
        <v>637</v>
      </c>
      <c r="D293" s="109" t="s">
        <v>1932</v>
      </c>
      <c r="E293" s="13" t="s">
        <v>1733</v>
      </c>
      <c r="F293" s="70">
        <v>46023</v>
      </c>
      <c r="G293" s="70"/>
      <c r="H293" s="14"/>
      <c r="I293" s="70">
        <v>46357</v>
      </c>
      <c r="J293" s="15" t="s">
        <v>75</v>
      </c>
      <c r="K293" s="110">
        <v>2524212</v>
      </c>
      <c r="L293" s="38"/>
      <c r="M293" s="110">
        <v>2524212</v>
      </c>
      <c r="N293" s="82" t="s">
        <v>2035</v>
      </c>
    </row>
    <row r="294" spans="1:14" ht="409.5">
      <c r="A294" s="12" t="s">
        <v>637</v>
      </c>
      <c r="B294" s="82" t="s">
        <v>1977</v>
      </c>
      <c r="C294" s="12" t="s">
        <v>637</v>
      </c>
      <c r="D294" s="109" t="s">
        <v>1932</v>
      </c>
      <c r="E294" s="13" t="s">
        <v>74</v>
      </c>
      <c r="F294" s="70">
        <v>46023</v>
      </c>
      <c r="G294" s="70"/>
      <c r="H294" s="14"/>
      <c r="I294" s="70">
        <v>46357</v>
      </c>
      <c r="J294" s="15" t="s">
        <v>75</v>
      </c>
      <c r="K294" s="110">
        <v>12930366.24</v>
      </c>
      <c r="L294" s="38"/>
      <c r="M294" s="110">
        <v>12930366.24</v>
      </c>
      <c r="N294" s="82" t="s">
        <v>2035</v>
      </c>
    </row>
    <row r="295" spans="1:14" ht="409.5">
      <c r="A295" s="12" t="s">
        <v>637</v>
      </c>
      <c r="B295" s="82" t="s">
        <v>1978</v>
      </c>
      <c r="C295" s="12" t="s">
        <v>637</v>
      </c>
      <c r="D295" s="109" t="s">
        <v>1932</v>
      </c>
      <c r="E295" s="13" t="s">
        <v>74</v>
      </c>
      <c r="F295" s="70">
        <v>46023</v>
      </c>
      <c r="G295" s="70"/>
      <c r="H295" s="14"/>
      <c r="I295" s="70">
        <v>46357</v>
      </c>
      <c r="J295" s="15" t="s">
        <v>75</v>
      </c>
      <c r="K295" s="110">
        <v>1710686.88</v>
      </c>
      <c r="L295" s="38"/>
      <c r="M295" s="110">
        <v>1710686.88</v>
      </c>
      <c r="N295" s="82" t="s">
        <v>2035</v>
      </c>
    </row>
    <row r="296" spans="1:14" ht="38.25">
      <c r="A296" s="12" t="s">
        <v>637</v>
      </c>
      <c r="B296" s="82" t="s">
        <v>1979</v>
      </c>
      <c r="C296" s="12" t="s">
        <v>637</v>
      </c>
      <c r="D296" s="109" t="s">
        <v>1932</v>
      </c>
      <c r="E296" s="13" t="s">
        <v>74</v>
      </c>
      <c r="F296" s="70">
        <v>46023</v>
      </c>
      <c r="G296" s="70"/>
      <c r="H296" s="14"/>
      <c r="I296" s="70">
        <v>46357</v>
      </c>
      <c r="J296" s="15" t="s">
        <v>75</v>
      </c>
      <c r="K296" s="110">
        <v>771542.98</v>
      </c>
      <c r="L296" s="38"/>
      <c r="M296" s="110">
        <v>771542.98</v>
      </c>
      <c r="N296" s="82" t="s">
        <v>2035</v>
      </c>
    </row>
    <row r="297" spans="1:14" ht="51">
      <c r="A297" s="12" t="s">
        <v>650</v>
      </c>
      <c r="B297" s="82" t="s">
        <v>1980</v>
      </c>
      <c r="C297" s="12" t="s">
        <v>650</v>
      </c>
      <c r="D297" s="109" t="s">
        <v>1932</v>
      </c>
      <c r="E297" s="13" t="s">
        <v>74</v>
      </c>
      <c r="F297" s="70">
        <v>46023</v>
      </c>
      <c r="G297" s="70"/>
      <c r="H297" s="14"/>
      <c r="I297" s="70">
        <v>46357</v>
      </c>
      <c r="J297" s="15" t="s">
        <v>75</v>
      </c>
      <c r="K297" s="110">
        <v>61996434.049999997</v>
      </c>
      <c r="L297" s="38"/>
      <c r="M297" s="110">
        <v>61996434.049999997</v>
      </c>
      <c r="N297" s="82" t="s">
        <v>2035</v>
      </c>
    </row>
    <row r="298" spans="1:14" ht="38.25">
      <c r="A298" s="12" t="s">
        <v>637</v>
      </c>
      <c r="B298" s="82" t="s">
        <v>1981</v>
      </c>
      <c r="C298" s="12" t="s">
        <v>637</v>
      </c>
      <c r="D298" s="109" t="s">
        <v>1932</v>
      </c>
      <c r="E298" s="13" t="s">
        <v>74</v>
      </c>
      <c r="F298" s="70">
        <v>46023</v>
      </c>
      <c r="G298" s="70"/>
      <c r="H298" s="14"/>
      <c r="I298" s="70">
        <v>46357</v>
      </c>
      <c r="J298" s="15" t="s">
        <v>75</v>
      </c>
      <c r="K298" s="110">
        <v>166236.21</v>
      </c>
      <c r="L298" s="38"/>
      <c r="M298" s="110">
        <v>166236.21</v>
      </c>
      <c r="N298" s="82" t="s">
        <v>2035</v>
      </c>
    </row>
    <row r="299" spans="1:14" ht="38.25">
      <c r="A299" s="12" t="s">
        <v>637</v>
      </c>
      <c r="B299" s="82" t="s">
        <v>1982</v>
      </c>
      <c r="C299" s="12" t="s">
        <v>637</v>
      </c>
      <c r="D299" s="109" t="s">
        <v>1932</v>
      </c>
      <c r="E299" s="13" t="s">
        <v>74</v>
      </c>
      <c r="F299" s="70">
        <v>46023</v>
      </c>
      <c r="G299" s="70"/>
      <c r="H299" s="14"/>
      <c r="I299" s="70">
        <v>46357</v>
      </c>
      <c r="J299" s="15" t="s">
        <v>75</v>
      </c>
      <c r="K299" s="110">
        <v>96416.88</v>
      </c>
      <c r="L299" s="38"/>
      <c r="M299" s="110">
        <v>96416.88</v>
      </c>
      <c r="N299" s="82" t="s">
        <v>2035</v>
      </c>
    </row>
    <row r="300" spans="1:14" ht="38.25">
      <c r="A300" s="12" t="s">
        <v>637</v>
      </c>
      <c r="B300" s="82" t="s">
        <v>1983</v>
      </c>
      <c r="C300" s="12" t="s">
        <v>637</v>
      </c>
      <c r="D300" s="109" t="s">
        <v>1932</v>
      </c>
      <c r="E300" s="13" t="s">
        <v>74</v>
      </c>
      <c r="F300" s="70">
        <v>46023</v>
      </c>
      <c r="G300" s="70"/>
      <c r="H300" s="14"/>
      <c r="I300" s="70">
        <v>46357</v>
      </c>
      <c r="J300" s="15" t="s">
        <v>75</v>
      </c>
      <c r="K300" s="110">
        <v>427560.12</v>
      </c>
      <c r="L300" s="38"/>
      <c r="M300" s="110">
        <v>427560.12</v>
      </c>
      <c r="N300" s="82" t="s">
        <v>2035</v>
      </c>
    </row>
    <row r="301" spans="1:14" ht="38.25">
      <c r="A301" s="12" t="s">
        <v>637</v>
      </c>
      <c r="B301" s="82" t="s">
        <v>1984</v>
      </c>
      <c r="C301" s="12" t="s">
        <v>637</v>
      </c>
      <c r="D301" s="109" t="s">
        <v>1932</v>
      </c>
      <c r="E301" s="13" t="s">
        <v>74</v>
      </c>
      <c r="F301" s="70">
        <v>46023</v>
      </c>
      <c r="G301" s="70"/>
      <c r="H301" s="14"/>
      <c r="I301" s="70">
        <v>46357</v>
      </c>
      <c r="J301" s="15" t="s">
        <v>75</v>
      </c>
      <c r="K301" s="110">
        <v>55767.75</v>
      </c>
      <c r="L301" s="38"/>
      <c r="M301" s="110">
        <v>55767.75</v>
      </c>
      <c r="N301" s="82" t="s">
        <v>2035</v>
      </c>
    </row>
    <row r="302" spans="1:14" ht="38.25">
      <c r="A302" s="12" t="s">
        <v>637</v>
      </c>
      <c r="B302" s="82" t="s">
        <v>1985</v>
      </c>
      <c r="C302" s="12" t="s">
        <v>637</v>
      </c>
      <c r="D302" s="109" t="s">
        <v>1932</v>
      </c>
      <c r="E302" s="13" t="s">
        <v>74</v>
      </c>
      <c r="F302" s="70">
        <v>46023</v>
      </c>
      <c r="G302" s="70"/>
      <c r="H302" s="14"/>
      <c r="I302" s="70">
        <v>46357</v>
      </c>
      <c r="J302" s="15" t="s">
        <v>75</v>
      </c>
      <c r="K302" s="110">
        <v>3850000</v>
      </c>
      <c r="L302" s="38"/>
      <c r="M302" s="110">
        <v>3850000</v>
      </c>
      <c r="N302" s="82" t="s">
        <v>2035</v>
      </c>
    </row>
    <row r="303" spans="1:14" ht="38.25">
      <c r="A303" s="12" t="s">
        <v>637</v>
      </c>
      <c r="B303" s="82" t="s">
        <v>1986</v>
      </c>
      <c r="C303" s="12" t="s">
        <v>637</v>
      </c>
      <c r="D303" s="109" t="s">
        <v>1932</v>
      </c>
      <c r="E303" s="13" t="s">
        <v>74</v>
      </c>
      <c r="F303" s="70">
        <v>46023</v>
      </c>
      <c r="G303" s="70"/>
      <c r="H303" s="14"/>
      <c r="I303" s="70">
        <v>46357</v>
      </c>
      <c r="J303" s="15" t="s">
        <v>75</v>
      </c>
      <c r="K303" s="110">
        <v>612000</v>
      </c>
      <c r="L303" s="38"/>
      <c r="M303" s="110">
        <v>612000</v>
      </c>
      <c r="N303" s="82" t="s">
        <v>2035</v>
      </c>
    </row>
    <row r="304" spans="1:14" ht="38.25">
      <c r="A304" s="12" t="s">
        <v>637</v>
      </c>
      <c r="B304" s="82" t="s">
        <v>1987</v>
      </c>
      <c r="C304" s="12" t="s">
        <v>637</v>
      </c>
      <c r="D304" s="109" t="s">
        <v>1932</v>
      </c>
      <c r="E304" s="13" t="s">
        <v>74</v>
      </c>
      <c r="F304" s="70">
        <v>46023</v>
      </c>
      <c r="G304" s="70"/>
      <c r="H304" s="14"/>
      <c r="I304" s="70">
        <v>46357</v>
      </c>
      <c r="J304" s="15" t="s">
        <v>75</v>
      </c>
      <c r="K304" s="110">
        <v>145000</v>
      </c>
      <c r="L304" s="38"/>
      <c r="M304" s="110">
        <v>145000</v>
      </c>
      <c r="N304" s="82" t="s">
        <v>2035</v>
      </c>
    </row>
    <row r="305" spans="1:14" ht="38.25">
      <c r="A305" s="12" t="s">
        <v>637</v>
      </c>
      <c r="B305" s="82" t="s">
        <v>1988</v>
      </c>
      <c r="C305" s="12" t="s">
        <v>637</v>
      </c>
      <c r="D305" s="109" t="s">
        <v>1932</v>
      </c>
      <c r="E305" s="13" t="s">
        <v>74</v>
      </c>
      <c r="F305" s="70">
        <v>46023</v>
      </c>
      <c r="G305" s="70"/>
      <c r="H305" s="14"/>
      <c r="I305" s="70">
        <v>46357</v>
      </c>
      <c r="J305" s="15" t="s">
        <v>75</v>
      </c>
      <c r="K305" s="110">
        <v>13300000</v>
      </c>
      <c r="L305" s="38"/>
      <c r="M305" s="110">
        <v>13300000</v>
      </c>
      <c r="N305" s="82" t="s">
        <v>2035</v>
      </c>
    </row>
    <row r="306" spans="1:14" ht="38.25">
      <c r="A306" s="12" t="s">
        <v>637</v>
      </c>
      <c r="B306" s="82" t="s">
        <v>1989</v>
      </c>
      <c r="C306" s="12" t="s">
        <v>637</v>
      </c>
      <c r="D306" s="109" t="s">
        <v>1932</v>
      </c>
      <c r="E306" s="13" t="s">
        <v>74</v>
      </c>
      <c r="F306" s="70">
        <v>46023</v>
      </c>
      <c r="G306" s="70"/>
      <c r="H306" s="14"/>
      <c r="I306" s="70">
        <v>46357</v>
      </c>
      <c r="J306" s="15" t="s">
        <v>75</v>
      </c>
      <c r="K306" s="110">
        <v>7743000</v>
      </c>
      <c r="L306" s="38"/>
      <c r="M306" s="110">
        <v>7743000</v>
      </c>
      <c r="N306" s="82" t="s">
        <v>2035</v>
      </c>
    </row>
    <row r="307" spans="1:14" ht="38.25">
      <c r="A307" s="12" t="s">
        <v>637</v>
      </c>
      <c r="B307" s="82" t="s">
        <v>1965</v>
      </c>
      <c r="C307" s="12" t="s">
        <v>637</v>
      </c>
      <c r="D307" s="109" t="s">
        <v>1932</v>
      </c>
      <c r="E307" s="13" t="s">
        <v>74</v>
      </c>
      <c r="F307" s="70">
        <v>46023</v>
      </c>
      <c r="G307" s="70"/>
      <c r="H307" s="14"/>
      <c r="I307" s="70">
        <v>46357</v>
      </c>
      <c r="J307" s="15" t="s">
        <v>75</v>
      </c>
      <c r="K307" s="110">
        <v>4500000</v>
      </c>
      <c r="L307" s="38"/>
      <c r="M307" s="110">
        <v>4500000</v>
      </c>
      <c r="N307" s="82" t="s">
        <v>2035</v>
      </c>
    </row>
    <row r="308" spans="1:14" ht="38.25">
      <c r="A308" s="12" t="s">
        <v>637</v>
      </c>
      <c r="B308" s="82" t="s">
        <v>1990</v>
      </c>
      <c r="C308" s="12" t="s">
        <v>637</v>
      </c>
      <c r="D308" s="109" t="s">
        <v>1932</v>
      </c>
      <c r="E308" s="13" t="s">
        <v>74</v>
      </c>
      <c r="F308" s="70">
        <v>46023</v>
      </c>
      <c r="G308" s="70"/>
      <c r="H308" s="14"/>
      <c r="I308" s="70">
        <v>46357</v>
      </c>
      <c r="J308" s="15" t="s">
        <v>75</v>
      </c>
      <c r="K308" s="110">
        <v>1700000</v>
      </c>
      <c r="L308" s="38"/>
      <c r="M308" s="110">
        <v>1700000</v>
      </c>
      <c r="N308" s="82" t="s">
        <v>2035</v>
      </c>
    </row>
    <row r="309" spans="1:14" ht="38.25">
      <c r="A309" s="12" t="s">
        <v>637</v>
      </c>
      <c r="B309" s="82" t="s">
        <v>1991</v>
      </c>
      <c r="C309" s="12" t="s">
        <v>637</v>
      </c>
      <c r="D309" s="109" t="s">
        <v>1932</v>
      </c>
      <c r="E309" s="13" t="s">
        <v>74</v>
      </c>
      <c r="F309" s="70">
        <v>46023</v>
      </c>
      <c r="G309" s="70"/>
      <c r="H309" s="14"/>
      <c r="I309" s="70">
        <v>46357</v>
      </c>
      <c r="J309" s="15" t="s">
        <v>75</v>
      </c>
      <c r="K309" s="110">
        <v>20800000</v>
      </c>
      <c r="L309" s="106"/>
      <c r="M309" s="110">
        <v>20800000</v>
      </c>
      <c r="N309" s="82" t="s">
        <v>2036</v>
      </c>
    </row>
    <row r="310" spans="1:14" ht="38.25">
      <c r="A310" s="12" t="s">
        <v>637</v>
      </c>
      <c r="B310" s="82" t="s">
        <v>1992</v>
      </c>
      <c r="C310" s="12" t="s">
        <v>637</v>
      </c>
      <c r="D310" s="109" t="s">
        <v>1932</v>
      </c>
      <c r="E310" s="13" t="s">
        <v>74</v>
      </c>
      <c r="F310" s="70">
        <v>46023</v>
      </c>
      <c r="G310" s="70"/>
      <c r="H310" s="14"/>
      <c r="I310" s="70">
        <v>46357</v>
      </c>
      <c r="J310" s="15" t="s">
        <v>75</v>
      </c>
      <c r="K310" s="110">
        <v>22644603.760000002</v>
      </c>
      <c r="L310" s="38"/>
      <c r="M310" s="110">
        <v>22644603.760000002</v>
      </c>
      <c r="N310" s="82" t="s">
        <v>2036</v>
      </c>
    </row>
    <row r="311" spans="1:14" ht="38.25">
      <c r="A311" s="12" t="s">
        <v>637</v>
      </c>
      <c r="B311" s="82" t="s">
        <v>1993</v>
      </c>
      <c r="C311" s="12" t="s">
        <v>637</v>
      </c>
      <c r="D311" s="109" t="s">
        <v>1932</v>
      </c>
      <c r="E311" s="13" t="s">
        <v>74</v>
      </c>
      <c r="F311" s="70">
        <v>46023</v>
      </c>
      <c r="G311" s="70"/>
      <c r="H311" s="14"/>
      <c r="I311" s="70">
        <v>46357</v>
      </c>
      <c r="J311" s="15" t="s">
        <v>75</v>
      </c>
      <c r="K311" s="110">
        <v>1004000</v>
      </c>
      <c r="L311" s="38"/>
      <c r="M311" s="110">
        <v>1004000</v>
      </c>
      <c r="N311" s="82" t="s">
        <v>2036</v>
      </c>
    </row>
    <row r="312" spans="1:14" ht="38.25">
      <c r="A312" s="12" t="s">
        <v>637</v>
      </c>
      <c r="B312" s="82" t="s">
        <v>1994</v>
      </c>
      <c r="C312" s="12" t="s">
        <v>637</v>
      </c>
      <c r="D312" s="109" t="s">
        <v>1932</v>
      </c>
      <c r="E312" s="13" t="s">
        <v>74</v>
      </c>
      <c r="F312" s="70">
        <v>46023</v>
      </c>
      <c r="G312" s="70"/>
      <c r="H312" s="14"/>
      <c r="I312" s="70">
        <v>46357</v>
      </c>
      <c r="J312" s="15" t="s">
        <v>75</v>
      </c>
      <c r="K312" s="110">
        <v>1053333.3400000001</v>
      </c>
      <c r="L312" s="38"/>
      <c r="M312" s="110">
        <v>1053333.3400000001</v>
      </c>
      <c r="N312" s="82" t="s">
        <v>2036</v>
      </c>
    </row>
    <row r="313" spans="1:14" ht="38.25">
      <c r="A313" s="12" t="s">
        <v>637</v>
      </c>
      <c r="B313" s="82" t="s">
        <v>1995</v>
      </c>
      <c r="C313" s="12" t="s">
        <v>637</v>
      </c>
      <c r="D313" s="109" t="s">
        <v>1932</v>
      </c>
      <c r="E313" s="13" t="s">
        <v>74</v>
      </c>
      <c r="F313" s="70">
        <v>46023</v>
      </c>
      <c r="G313" s="70"/>
      <c r="H313" s="14"/>
      <c r="I313" s="70">
        <v>46357</v>
      </c>
      <c r="J313" s="15" t="s">
        <v>75</v>
      </c>
      <c r="K313" s="110">
        <v>10680000</v>
      </c>
      <c r="L313" s="38"/>
      <c r="M313" s="110">
        <v>10680000</v>
      </c>
      <c r="N313" s="82" t="s">
        <v>2036</v>
      </c>
    </row>
    <row r="314" spans="1:14" ht="38.25">
      <c r="A314" s="12" t="s">
        <v>637</v>
      </c>
      <c r="B314" s="82" t="s">
        <v>1996</v>
      </c>
      <c r="C314" s="12" t="s">
        <v>637</v>
      </c>
      <c r="D314" s="109" t="s">
        <v>1932</v>
      </c>
      <c r="E314" s="13" t="s">
        <v>74</v>
      </c>
      <c r="F314" s="70">
        <v>46023</v>
      </c>
      <c r="G314" s="70"/>
      <c r="H314" s="14"/>
      <c r="I314" s="70">
        <v>46357</v>
      </c>
      <c r="J314" s="15" t="s">
        <v>75</v>
      </c>
      <c r="K314" s="110">
        <v>25000</v>
      </c>
      <c r="L314" s="38"/>
      <c r="M314" s="110">
        <v>25000</v>
      </c>
      <c r="N314" s="82" t="s">
        <v>2036</v>
      </c>
    </row>
    <row r="315" spans="1:14" ht="38.25">
      <c r="A315" s="12" t="s">
        <v>650</v>
      </c>
      <c r="B315" s="82" t="s">
        <v>1965</v>
      </c>
      <c r="C315" s="12" t="s">
        <v>650</v>
      </c>
      <c r="D315" s="109" t="s">
        <v>1932</v>
      </c>
      <c r="E315" s="13" t="s">
        <v>74</v>
      </c>
      <c r="F315" s="70">
        <v>46023</v>
      </c>
      <c r="G315" s="70"/>
      <c r="H315" s="14"/>
      <c r="I315" s="70">
        <v>46357</v>
      </c>
      <c r="J315" s="15" t="s">
        <v>75</v>
      </c>
      <c r="K315" s="110">
        <v>6800000</v>
      </c>
      <c r="L315" s="38"/>
      <c r="M315" s="110">
        <v>6800000</v>
      </c>
      <c r="N315" s="82" t="s">
        <v>2036</v>
      </c>
    </row>
    <row r="316" spans="1:14" ht="38.25">
      <c r="A316" s="12" t="s">
        <v>650</v>
      </c>
      <c r="B316" s="82" t="s">
        <v>1997</v>
      </c>
      <c r="C316" s="12" t="s">
        <v>650</v>
      </c>
      <c r="D316" s="109" t="s">
        <v>1932</v>
      </c>
      <c r="E316" s="13" t="s">
        <v>74</v>
      </c>
      <c r="F316" s="70">
        <v>46023</v>
      </c>
      <c r="G316" s="70"/>
      <c r="H316" s="14"/>
      <c r="I316" s="70">
        <v>46357</v>
      </c>
      <c r="J316" s="15" t="s">
        <v>75</v>
      </c>
      <c r="K316" s="110">
        <v>8500000</v>
      </c>
      <c r="L316" s="38"/>
      <c r="M316" s="110">
        <v>8500000</v>
      </c>
      <c r="N316" s="82" t="s">
        <v>2036</v>
      </c>
    </row>
    <row r="317" spans="1:14" ht="38.25">
      <c r="A317" s="12" t="s">
        <v>637</v>
      </c>
      <c r="B317" s="82" t="s">
        <v>1990</v>
      </c>
      <c r="C317" s="12" t="s">
        <v>637</v>
      </c>
      <c r="D317" s="109" t="s">
        <v>1932</v>
      </c>
      <c r="E317" s="13" t="s">
        <v>74</v>
      </c>
      <c r="F317" s="70">
        <v>46023</v>
      </c>
      <c r="G317" s="70"/>
      <c r="H317" s="14"/>
      <c r="I317" s="70">
        <v>46357</v>
      </c>
      <c r="J317" s="15" t="s">
        <v>75</v>
      </c>
      <c r="K317" s="110">
        <v>2250000</v>
      </c>
      <c r="L317" s="38"/>
      <c r="M317" s="110">
        <v>2250000</v>
      </c>
      <c r="N317" s="82" t="s">
        <v>2036</v>
      </c>
    </row>
    <row r="318" spans="1:14" ht="38.25">
      <c r="A318" s="12" t="s">
        <v>637</v>
      </c>
      <c r="B318" s="82" t="s">
        <v>1998</v>
      </c>
      <c r="C318" s="12" t="s">
        <v>637</v>
      </c>
      <c r="D318" s="109" t="s">
        <v>1932</v>
      </c>
      <c r="E318" s="13" t="s">
        <v>74</v>
      </c>
      <c r="F318" s="70">
        <v>46023</v>
      </c>
      <c r="G318" s="70"/>
      <c r="H318" s="14"/>
      <c r="I318" s="70">
        <v>46357</v>
      </c>
      <c r="J318" s="15" t="s">
        <v>75</v>
      </c>
      <c r="K318" s="110">
        <v>7228600</v>
      </c>
      <c r="L318" s="38"/>
      <c r="M318" s="110">
        <v>7228600</v>
      </c>
      <c r="N318" s="82" t="s">
        <v>2036</v>
      </c>
    </row>
    <row r="319" spans="1:14" ht="38.25">
      <c r="A319" s="12" t="s">
        <v>650</v>
      </c>
      <c r="B319" s="82" t="s">
        <v>1999</v>
      </c>
      <c r="C319" s="12" t="s">
        <v>650</v>
      </c>
      <c r="D319" s="109" t="s">
        <v>1932</v>
      </c>
      <c r="E319" s="13" t="s">
        <v>74</v>
      </c>
      <c r="F319" s="70">
        <v>46023</v>
      </c>
      <c r="G319" s="70"/>
      <c r="H319" s="14"/>
      <c r="I319" s="70">
        <v>46357</v>
      </c>
      <c r="J319" s="15" t="s">
        <v>75</v>
      </c>
      <c r="K319" s="110">
        <v>2532399.4293600004</v>
      </c>
      <c r="L319" s="38"/>
      <c r="M319" s="110">
        <v>2532399.4293600004</v>
      </c>
      <c r="N319" s="82" t="s">
        <v>2036</v>
      </c>
    </row>
    <row r="320" spans="1:14" ht="38.25">
      <c r="A320" s="12" t="s">
        <v>637</v>
      </c>
      <c r="B320" s="82" t="s">
        <v>2000</v>
      </c>
      <c r="C320" s="12" t="s">
        <v>637</v>
      </c>
      <c r="D320" s="109" t="s">
        <v>1932</v>
      </c>
      <c r="E320" s="13" t="s">
        <v>74</v>
      </c>
      <c r="F320" s="70">
        <v>46023</v>
      </c>
      <c r="G320" s="70"/>
      <c r="H320" s="14"/>
      <c r="I320" s="70">
        <v>46357</v>
      </c>
      <c r="J320" s="15" t="s">
        <v>75</v>
      </c>
      <c r="K320" s="110">
        <v>1722100</v>
      </c>
      <c r="L320" s="38"/>
      <c r="M320" s="110">
        <v>1722100</v>
      </c>
      <c r="N320" s="82" t="s">
        <v>2036</v>
      </c>
    </row>
    <row r="321" spans="1:14" ht="38.25">
      <c r="A321" s="12" t="s">
        <v>637</v>
      </c>
      <c r="B321" s="82" t="s">
        <v>2001</v>
      </c>
      <c r="C321" s="12" t="s">
        <v>637</v>
      </c>
      <c r="D321" s="109" t="s">
        <v>1932</v>
      </c>
      <c r="E321" s="13" t="s">
        <v>74</v>
      </c>
      <c r="F321" s="70">
        <v>46023</v>
      </c>
      <c r="G321" s="70"/>
      <c r="H321" s="14"/>
      <c r="I321" s="70">
        <v>46357</v>
      </c>
      <c r="J321" s="15" t="s">
        <v>75</v>
      </c>
      <c r="K321" s="110">
        <v>345960</v>
      </c>
      <c r="L321" s="38"/>
      <c r="M321" s="110">
        <v>345960</v>
      </c>
      <c r="N321" s="82" t="s">
        <v>2037</v>
      </c>
    </row>
    <row r="322" spans="1:14" ht="38.25">
      <c r="A322" s="12" t="s">
        <v>637</v>
      </c>
      <c r="B322" s="82" t="s">
        <v>1942</v>
      </c>
      <c r="C322" s="12" t="s">
        <v>637</v>
      </c>
      <c r="D322" s="109" t="s">
        <v>1932</v>
      </c>
      <c r="E322" s="13" t="s">
        <v>74</v>
      </c>
      <c r="F322" s="70">
        <v>46023</v>
      </c>
      <c r="G322" s="70"/>
      <c r="H322" s="14"/>
      <c r="I322" s="70">
        <v>46357</v>
      </c>
      <c r="J322" s="15" t="s">
        <v>75</v>
      </c>
      <c r="K322" s="110">
        <v>73140</v>
      </c>
      <c r="L322" s="38"/>
      <c r="M322" s="110">
        <v>73140</v>
      </c>
      <c r="N322" s="82" t="s">
        <v>2037</v>
      </c>
    </row>
    <row r="323" spans="1:14" ht="38.25">
      <c r="A323" s="12" t="s">
        <v>650</v>
      </c>
      <c r="B323" s="82" t="s">
        <v>1946</v>
      </c>
      <c r="C323" s="12" t="s">
        <v>650</v>
      </c>
      <c r="D323" s="109" t="s">
        <v>1932</v>
      </c>
      <c r="E323" s="13" t="s">
        <v>74</v>
      </c>
      <c r="F323" s="70">
        <v>46023</v>
      </c>
      <c r="G323" s="70"/>
      <c r="H323" s="14"/>
      <c r="I323" s="70">
        <v>46357</v>
      </c>
      <c r="J323" s="15" t="s">
        <v>75</v>
      </c>
      <c r="K323" s="110">
        <v>22200</v>
      </c>
      <c r="L323" s="38"/>
      <c r="M323" s="110">
        <v>22200</v>
      </c>
      <c r="N323" s="82" t="s">
        <v>2037</v>
      </c>
    </row>
    <row r="324" spans="1:14" ht="38.25">
      <c r="A324" s="12" t="s">
        <v>650</v>
      </c>
      <c r="B324" s="82" t="s">
        <v>1944</v>
      </c>
      <c r="C324" s="12" t="s">
        <v>650</v>
      </c>
      <c r="D324" s="109" t="s">
        <v>1932</v>
      </c>
      <c r="E324" s="13" t="s">
        <v>74</v>
      </c>
      <c r="F324" s="70">
        <v>46023</v>
      </c>
      <c r="G324" s="70"/>
      <c r="H324" s="14"/>
      <c r="I324" s="70">
        <v>46357</v>
      </c>
      <c r="J324" s="15" t="s">
        <v>75</v>
      </c>
      <c r="K324" s="110">
        <v>96000</v>
      </c>
      <c r="L324" s="38"/>
      <c r="M324" s="110">
        <v>96000</v>
      </c>
      <c r="N324" s="82" t="s">
        <v>2037</v>
      </c>
    </row>
    <row r="325" spans="1:14" ht="38.25">
      <c r="A325" s="12" t="s">
        <v>637</v>
      </c>
      <c r="B325" s="82" t="s">
        <v>2002</v>
      </c>
      <c r="C325" s="12" t="s">
        <v>637</v>
      </c>
      <c r="D325" s="109" t="s">
        <v>1932</v>
      </c>
      <c r="E325" s="13" t="s">
        <v>74</v>
      </c>
      <c r="F325" s="70">
        <v>46023</v>
      </c>
      <c r="G325" s="70"/>
      <c r="H325" s="14"/>
      <c r="I325" s="70">
        <v>46357</v>
      </c>
      <c r="J325" s="15" t="s">
        <v>75</v>
      </c>
      <c r="K325" s="110">
        <v>390000</v>
      </c>
      <c r="L325" s="38"/>
      <c r="M325" s="110">
        <v>390000</v>
      </c>
      <c r="N325" s="82" t="s">
        <v>2037</v>
      </c>
    </row>
    <row r="326" spans="1:14" ht="38.25">
      <c r="A326" s="12" t="s">
        <v>637</v>
      </c>
      <c r="B326" s="82" t="s">
        <v>1960</v>
      </c>
      <c r="C326" s="12" t="s">
        <v>637</v>
      </c>
      <c r="D326" s="109" t="s">
        <v>1932</v>
      </c>
      <c r="E326" s="13" t="s">
        <v>74</v>
      </c>
      <c r="F326" s="70">
        <v>46023</v>
      </c>
      <c r="G326" s="70"/>
      <c r="H326" s="14"/>
      <c r="I326" s="70">
        <v>46357</v>
      </c>
      <c r="J326" s="15" t="s">
        <v>75</v>
      </c>
      <c r="K326" s="110">
        <v>160896</v>
      </c>
      <c r="L326" s="38"/>
      <c r="M326" s="110">
        <v>160896</v>
      </c>
      <c r="N326" s="82" t="s">
        <v>2037</v>
      </c>
    </row>
    <row r="327" spans="1:14" ht="38.25">
      <c r="A327" s="12" t="s">
        <v>637</v>
      </c>
      <c r="B327" s="82" t="s">
        <v>1961</v>
      </c>
      <c r="C327" s="12" t="s">
        <v>637</v>
      </c>
      <c r="D327" s="109" t="s">
        <v>1932</v>
      </c>
      <c r="E327" s="13" t="s">
        <v>74</v>
      </c>
      <c r="F327" s="70">
        <v>46023</v>
      </c>
      <c r="G327" s="70"/>
      <c r="H327" s="14"/>
      <c r="I327" s="70">
        <v>46357</v>
      </c>
      <c r="J327" s="15" t="s">
        <v>75</v>
      </c>
      <c r="K327" s="110">
        <v>191160</v>
      </c>
      <c r="L327" s="38"/>
      <c r="M327" s="110">
        <v>191160</v>
      </c>
      <c r="N327" s="82" t="s">
        <v>2037</v>
      </c>
    </row>
    <row r="328" spans="1:14" ht="38.25">
      <c r="A328" s="12" t="s">
        <v>637</v>
      </c>
      <c r="B328" s="82" t="s">
        <v>1963</v>
      </c>
      <c r="C328" s="12" t="s">
        <v>637</v>
      </c>
      <c r="D328" s="109" t="s">
        <v>1932</v>
      </c>
      <c r="E328" s="13" t="s">
        <v>74</v>
      </c>
      <c r="F328" s="70">
        <v>46023</v>
      </c>
      <c r="G328" s="70"/>
      <c r="H328" s="14"/>
      <c r="I328" s="70">
        <v>46357</v>
      </c>
      <c r="J328" s="15" t="s">
        <v>75</v>
      </c>
      <c r="K328" s="110">
        <v>123911.52</v>
      </c>
      <c r="L328" s="38"/>
      <c r="M328" s="110">
        <v>123911.52</v>
      </c>
      <c r="N328" s="82" t="s">
        <v>2037</v>
      </c>
    </row>
    <row r="329" spans="1:14" ht="38.25">
      <c r="A329" s="12" t="s">
        <v>637</v>
      </c>
      <c r="B329" s="82" t="s">
        <v>1971</v>
      </c>
      <c r="C329" s="12" t="s">
        <v>637</v>
      </c>
      <c r="D329" s="109" t="s">
        <v>1932</v>
      </c>
      <c r="E329" s="13" t="s">
        <v>74</v>
      </c>
      <c r="F329" s="70">
        <v>46023</v>
      </c>
      <c r="G329" s="70"/>
      <c r="H329" s="14"/>
      <c r="I329" s="70">
        <v>46357</v>
      </c>
      <c r="J329" s="15" t="s">
        <v>75</v>
      </c>
      <c r="K329" s="110">
        <v>168000</v>
      </c>
      <c r="L329" s="38"/>
      <c r="M329" s="110">
        <v>168000</v>
      </c>
      <c r="N329" s="82" t="s">
        <v>2037</v>
      </c>
    </row>
    <row r="330" spans="1:14" ht="38.25">
      <c r="A330" s="12" t="s">
        <v>650</v>
      </c>
      <c r="B330" s="82" t="s">
        <v>1965</v>
      </c>
      <c r="C330" s="12" t="s">
        <v>650</v>
      </c>
      <c r="D330" s="109" t="s">
        <v>1932</v>
      </c>
      <c r="E330" s="13" t="s">
        <v>74</v>
      </c>
      <c r="F330" s="70">
        <v>46023</v>
      </c>
      <c r="G330" s="70"/>
      <c r="H330" s="14"/>
      <c r="I330" s="70">
        <v>46357</v>
      </c>
      <c r="J330" s="15" t="s">
        <v>75</v>
      </c>
      <c r="K330" s="110">
        <v>6065000</v>
      </c>
      <c r="L330" s="38"/>
      <c r="M330" s="110">
        <v>6065000</v>
      </c>
      <c r="N330" s="82" t="s">
        <v>2037</v>
      </c>
    </row>
    <row r="331" spans="1:14" ht="38.25">
      <c r="A331" s="12" t="s">
        <v>650</v>
      </c>
      <c r="B331" s="82" t="s">
        <v>1997</v>
      </c>
      <c r="C331" s="12" t="s">
        <v>650</v>
      </c>
      <c r="D331" s="109" t="s">
        <v>1932</v>
      </c>
      <c r="E331" s="13" t="s">
        <v>74</v>
      </c>
      <c r="F331" s="70">
        <v>46023</v>
      </c>
      <c r="G331" s="70"/>
      <c r="H331" s="14"/>
      <c r="I331" s="70">
        <v>46357</v>
      </c>
      <c r="J331" s="15" t="s">
        <v>75</v>
      </c>
      <c r="K331" s="110">
        <v>7228600</v>
      </c>
      <c r="L331" s="38"/>
      <c r="M331" s="110">
        <v>7228600</v>
      </c>
      <c r="N331" s="82" t="s">
        <v>2037</v>
      </c>
    </row>
    <row r="332" spans="1:14" ht="38.25">
      <c r="A332" s="12" t="s">
        <v>650</v>
      </c>
      <c r="B332" s="82" t="s">
        <v>1990</v>
      </c>
      <c r="C332" s="12" t="s">
        <v>650</v>
      </c>
      <c r="D332" s="109" t="s">
        <v>1932</v>
      </c>
      <c r="E332" s="13" t="s">
        <v>74</v>
      </c>
      <c r="F332" s="70">
        <v>46023</v>
      </c>
      <c r="G332" s="70"/>
      <c r="H332" s="14"/>
      <c r="I332" s="70">
        <v>46357</v>
      </c>
      <c r="J332" s="15" t="s">
        <v>75</v>
      </c>
      <c r="K332" s="110">
        <v>4164950</v>
      </c>
      <c r="L332" s="38"/>
      <c r="M332" s="110">
        <v>4164950</v>
      </c>
      <c r="N332" s="82" t="s">
        <v>2037</v>
      </c>
    </row>
    <row r="333" spans="1:14" ht="38.25">
      <c r="A333" s="12" t="s">
        <v>650</v>
      </c>
      <c r="B333" s="82" t="s">
        <v>2003</v>
      </c>
      <c r="C333" s="12" t="s">
        <v>650</v>
      </c>
      <c r="D333" s="109" t="s">
        <v>1932</v>
      </c>
      <c r="E333" s="13" t="s">
        <v>74</v>
      </c>
      <c r="F333" s="70">
        <v>46023</v>
      </c>
      <c r="G333" s="70"/>
      <c r="H333" s="14"/>
      <c r="I333" s="70">
        <v>46357</v>
      </c>
      <c r="J333" s="15" t="s">
        <v>75</v>
      </c>
      <c r="K333" s="110">
        <v>67800000</v>
      </c>
      <c r="L333" s="38"/>
      <c r="M333" s="110">
        <v>67800000</v>
      </c>
      <c r="N333" s="82" t="s">
        <v>2038</v>
      </c>
    </row>
    <row r="334" spans="1:14" ht="38.25">
      <c r="A334" s="12" t="s">
        <v>650</v>
      </c>
      <c r="B334" s="82" t="s">
        <v>2004</v>
      </c>
      <c r="C334" s="12" t="s">
        <v>650</v>
      </c>
      <c r="D334" s="109" t="s">
        <v>1932</v>
      </c>
      <c r="E334" s="13" t="s">
        <v>74</v>
      </c>
      <c r="F334" s="70">
        <v>46023</v>
      </c>
      <c r="G334" s="70"/>
      <c r="H334" s="14"/>
      <c r="I334" s="70">
        <v>46357</v>
      </c>
      <c r="J334" s="15" t="s">
        <v>75</v>
      </c>
      <c r="K334" s="110">
        <v>41825000</v>
      </c>
      <c r="L334" s="38"/>
      <c r="M334" s="110">
        <v>41825000</v>
      </c>
      <c r="N334" s="82" t="s">
        <v>2038</v>
      </c>
    </row>
    <row r="335" spans="1:14" ht="38.25">
      <c r="A335" s="12" t="s">
        <v>650</v>
      </c>
      <c r="B335" s="82" t="s">
        <v>2005</v>
      </c>
      <c r="C335" s="12" t="s">
        <v>650</v>
      </c>
      <c r="D335" s="109" t="s">
        <v>1932</v>
      </c>
      <c r="E335" s="13" t="s">
        <v>74</v>
      </c>
      <c r="F335" s="70">
        <v>46023</v>
      </c>
      <c r="G335" s="70"/>
      <c r="H335" s="14"/>
      <c r="I335" s="70">
        <v>46357</v>
      </c>
      <c r="J335" s="15" t="s">
        <v>75</v>
      </c>
      <c r="K335" s="110">
        <v>44800000</v>
      </c>
      <c r="L335" s="38"/>
      <c r="M335" s="110">
        <v>44800000</v>
      </c>
      <c r="N335" s="82" t="s">
        <v>2038</v>
      </c>
    </row>
    <row r="336" spans="1:14" ht="38.25">
      <c r="A336" s="12" t="s">
        <v>650</v>
      </c>
      <c r="B336" s="82" t="s">
        <v>2006</v>
      </c>
      <c r="C336" s="12" t="s">
        <v>650</v>
      </c>
      <c r="D336" s="109" t="s">
        <v>1932</v>
      </c>
      <c r="E336" s="13" t="s">
        <v>74</v>
      </c>
      <c r="F336" s="70">
        <v>46023</v>
      </c>
      <c r="G336" s="70"/>
      <c r="H336" s="14"/>
      <c r="I336" s="70">
        <v>46357</v>
      </c>
      <c r="J336" s="15" t="s">
        <v>75</v>
      </c>
      <c r="K336" s="110">
        <v>43700000</v>
      </c>
      <c r="L336" s="38"/>
      <c r="M336" s="110">
        <v>43700000</v>
      </c>
      <c r="N336" s="82" t="s">
        <v>2038</v>
      </c>
    </row>
    <row r="337" spans="1:14" ht="38.25">
      <c r="A337" s="12" t="s">
        <v>650</v>
      </c>
      <c r="B337" s="82" t="s">
        <v>2007</v>
      </c>
      <c r="C337" s="12" t="s">
        <v>650</v>
      </c>
      <c r="D337" s="109" t="s">
        <v>1932</v>
      </c>
      <c r="E337" s="13" t="s">
        <v>74</v>
      </c>
      <c r="F337" s="70">
        <v>46023</v>
      </c>
      <c r="G337" s="70"/>
      <c r="H337" s="14"/>
      <c r="I337" s="70">
        <v>46357</v>
      </c>
      <c r="J337" s="15" t="s">
        <v>75</v>
      </c>
      <c r="K337" s="110">
        <v>73800000</v>
      </c>
      <c r="L337" s="38"/>
      <c r="M337" s="110">
        <v>73800000</v>
      </c>
      <c r="N337" s="82" t="s">
        <v>2038</v>
      </c>
    </row>
    <row r="338" spans="1:14" ht="38.25">
      <c r="A338" s="12" t="s">
        <v>650</v>
      </c>
      <c r="B338" s="82" t="s">
        <v>2008</v>
      </c>
      <c r="C338" s="12" t="s">
        <v>650</v>
      </c>
      <c r="D338" s="109" t="s">
        <v>1932</v>
      </c>
      <c r="E338" s="13" t="s">
        <v>74</v>
      </c>
      <c r="F338" s="70">
        <v>46023</v>
      </c>
      <c r="G338" s="70"/>
      <c r="H338" s="14"/>
      <c r="I338" s="70">
        <v>46357</v>
      </c>
      <c r="J338" s="15" t="s">
        <v>75</v>
      </c>
      <c r="K338" s="110">
        <v>41875000</v>
      </c>
      <c r="L338" s="38"/>
      <c r="M338" s="110">
        <v>41875000</v>
      </c>
      <c r="N338" s="82" t="s">
        <v>2038</v>
      </c>
    </row>
    <row r="339" spans="1:14" ht="51">
      <c r="A339" s="12" t="s">
        <v>637</v>
      </c>
      <c r="B339" s="82" t="s">
        <v>2009</v>
      </c>
      <c r="C339" s="12" t="s">
        <v>637</v>
      </c>
      <c r="D339" s="109" t="s">
        <v>1932</v>
      </c>
      <c r="E339" s="13" t="s">
        <v>74</v>
      </c>
      <c r="F339" s="70">
        <v>46023</v>
      </c>
      <c r="G339" s="70"/>
      <c r="H339" s="14"/>
      <c r="I339" s="70">
        <v>46357</v>
      </c>
      <c r="J339" s="15" t="s">
        <v>75</v>
      </c>
      <c r="K339" s="110">
        <v>110270000</v>
      </c>
      <c r="L339" s="38"/>
      <c r="M339" s="110">
        <v>110270000</v>
      </c>
      <c r="N339" s="82" t="s">
        <v>2039</v>
      </c>
    </row>
    <row r="340" spans="1:14" ht="51">
      <c r="A340" s="12" t="s">
        <v>637</v>
      </c>
      <c r="B340" s="82" t="s">
        <v>1965</v>
      </c>
      <c r="C340" s="12" t="s">
        <v>637</v>
      </c>
      <c r="D340" s="109" t="s">
        <v>1932</v>
      </c>
      <c r="E340" s="13" t="s">
        <v>74</v>
      </c>
      <c r="F340" s="70">
        <v>46023</v>
      </c>
      <c r="G340" s="70"/>
      <c r="H340" s="14"/>
      <c r="I340" s="70">
        <v>46357</v>
      </c>
      <c r="J340" s="15" t="s">
        <v>75</v>
      </c>
      <c r="K340" s="110">
        <v>30401000</v>
      </c>
      <c r="L340" s="38"/>
      <c r="M340" s="110">
        <v>30401000</v>
      </c>
      <c r="N340" s="82" t="s">
        <v>2039</v>
      </c>
    </row>
    <row r="341" spans="1:14" ht="51">
      <c r="A341" s="12" t="s">
        <v>637</v>
      </c>
      <c r="B341" s="82" t="s">
        <v>2010</v>
      </c>
      <c r="C341" s="12" t="s">
        <v>637</v>
      </c>
      <c r="D341" s="109" t="s">
        <v>1932</v>
      </c>
      <c r="E341" s="13" t="s">
        <v>74</v>
      </c>
      <c r="F341" s="70">
        <v>46023</v>
      </c>
      <c r="G341" s="70"/>
      <c r="H341" s="14"/>
      <c r="I341" s="70">
        <v>46357</v>
      </c>
      <c r="J341" s="15" t="s">
        <v>75</v>
      </c>
      <c r="K341" s="110">
        <v>2150000</v>
      </c>
      <c r="L341" s="38"/>
      <c r="M341" s="110">
        <v>2150000</v>
      </c>
      <c r="N341" s="82" t="s">
        <v>2040</v>
      </c>
    </row>
    <row r="342" spans="1:14" ht="51">
      <c r="A342" s="12" t="s">
        <v>637</v>
      </c>
      <c r="B342" s="82" t="s">
        <v>2011</v>
      </c>
      <c r="C342" s="12" t="s">
        <v>637</v>
      </c>
      <c r="D342" s="109" t="s">
        <v>1932</v>
      </c>
      <c r="E342" s="13" t="s">
        <v>74</v>
      </c>
      <c r="F342" s="70">
        <v>46023</v>
      </c>
      <c r="G342" s="70"/>
      <c r="H342" s="14"/>
      <c r="I342" s="70">
        <v>46357</v>
      </c>
      <c r="J342" s="15" t="s">
        <v>75</v>
      </c>
      <c r="K342" s="110">
        <v>8654088</v>
      </c>
      <c r="L342" s="38"/>
      <c r="M342" s="110">
        <v>8654088</v>
      </c>
      <c r="N342" s="82" t="s">
        <v>2040</v>
      </c>
    </row>
    <row r="343" spans="1:14" ht="51">
      <c r="A343" s="12" t="s">
        <v>637</v>
      </c>
      <c r="B343" s="82" t="s">
        <v>2012</v>
      </c>
      <c r="C343" s="12" t="s">
        <v>637</v>
      </c>
      <c r="D343" s="109" t="s">
        <v>1932</v>
      </c>
      <c r="E343" s="13" t="s">
        <v>74</v>
      </c>
      <c r="F343" s="70">
        <v>46023</v>
      </c>
      <c r="G343" s="70"/>
      <c r="H343" s="14"/>
      <c r="I343" s="70">
        <v>46357</v>
      </c>
      <c r="J343" s="15" t="s">
        <v>75</v>
      </c>
      <c r="K343" s="110">
        <v>288000</v>
      </c>
      <c r="L343" s="38"/>
      <c r="M343" s="110">
        <v>288000</v>
      </c>
      <c r="N343" s="82" t="s">
        <v>2040</v>
      </c>
    </row>
    <row r="344" spans="1:14" ht="51">
      <c r="A344" s="12" t="s">
        <v>637</v>
      </c>
      <c r="B344" s="82" t="s">
        <v>1965</v>
      </c>
      <c r="C344" s="12" t="s">
        <v>637</v>
      </c>
      <c r="D344" s="109" t="s">
        <v>1932</v>
      </c>
      <c r="E344" s="13" t="s">
        <v>74</v>
      </c>
      <c r="F344" s="70">
        <v>46023</v>
      </c>
      <c r="G344" s="70"/>
      <c r="H344" s="14"/>
      <c r="I344" s="70">
        <v>46357</v>
      </c>
      <c r="J344" s="15" t="s">
        <v>75</v>
      </c>
      <c r="K344" s="110">
        <v>919516.65</v>
      </c>
      <c r="L344" s="38"/>
      <c r="M344" s="110">
        <v>919516.65</v>
      </c>
      <c r="N344" s="82" t="s">
        <v>2040</v>
      </c>
    </row>
    <row r="345" spans="1:14" ht="51">
      <c r="A345" s="12" t="s">
        <v>637</v>
      </c>
      <c r="B345" s="82" t="s">
        <v>2013</v>
      </c>
      <c r="C345" s="12" t="s">
        <v>637</v>
      </c>
      <c r="D345" s="109" t="s">
        <v>1932</v>
      </c>
      <c r="E345" s="13" t="s">
        <v>74</v>
      </c>
      <c r="F345" s="70">
        <v>46023</v>
      </c>
      <c r="G345" s="70"/>
      <c r="H345" s="14"/>
      <c r="I345" s="70">
        <v>46357</v>
      </c>
      <c r="J345" s="15" t="s">
        <v>75</v>
      </c>
      <c r="K345" s="110">
        <v>535851.97</v>
      </c>
      <c r="L345" s="38"/>
      <c r="M345" s="110">
        <v>535851.97</v>
      </c>
      <c r="N345" s="82" t="s">
        <v>2041</v>
      </c>
    </row>
    <row r="346" spans="1:14" ht="51">
      <c r="A346" s="12" t="s">
        <v>637</v>
      </c>
      <c r="B346" s="82" t="s">
        <v>2014</v>
      </c>
      <c r="C346" s="12" t="s">
        <v>637</v>
      </c>
      <c r="D346" s="109" t="s">
        <v>1932</v>
      </c>
      <c r="E346" s="13" t="s">
        <v>74</v>
      </c>
      <c r="F346" s="70">
        <v>46023</v>
      </c>
      <c r="G346" s="70"/>
      <c r="H346" s="14"/>
      <c r="I346" s="70">
        <v>46357</v>
      </c>
      <c r="J346" s="15" t="s">
        <v>75</v>
      </c>
      <c r="K346" s="110">
        <v>3164148.03</v>
      </c>
      <c r="L346" s="38"/>
      <c r="M346" s="110">
        <v>3164148.03</v>
      </c>
      <c r="N346" s="82" t="s">
        <v>2041</v>
      </c>
    </row>
    <row r="347" spans="1:14" ht="51">
      <c r="A347" s="12" t="s">
        <v>637</v>
      </c>
      <c r="B347" s="82" t="s">
        <v>1997</v>
      </c>
      <c r="C347" s="12" t="s">
        <v>637</v>
      </c>
      <c r="D347" s="109" t="s">
        <v>1932</v>
      </c>
      <c r="E347" s="13" t="s">
        <v>74</v>
      </c>
      <c r="F347" s="70">
        <v>46023</v>
      </c>
      <c r="G347" s="70"/>
      <c r="H347" s="14"/>
      <c r="I347" s="70">
        <v>46357</v>
      </c>
      <c r="J347" s="15" t="s">
        <v>75</v>
      </c>
      <c r="K347" s="110">
        <v>2300000</v>
      </c>
      <c r="L347" s="38"/>
      <c r="M347" s="110">
        <v>2300000</v>
      </c>
      <c r="N347" s="82" t="s">
        <v>2041</v>
      </c>
    </row>
    <row r="348" spans="1:14" ht="51">
      <c r="A348" s="12" t="s">
        <v>650</v>
      </c>
      <c r="B348" s="82" t="s">
        <v>2015</v>
      </c>
      <c r="C348" s="12" t="s">
        <v>650</v>
      </c>
      <c r="D348" s="109" t="s">
        <v>1932</v>
      </c>
      <c r="E348" s="13" t="s">
        <v>74</v>
      </c>
      <c r="F348" s="70">
        <v>46023</v>
      </c>
      <c r="G348" s="70"/>
      <c r="H348" s="14"/>
      <c r="I348" s="70">
        <v>46357</v>
      </c>
      <c r="J348" s="15" t="s">
        <v>75</v>
      </c>
      <c r="K348" s="110">
        <v>10000000</v>
      </c>
      <c r="L348" s="38"/>
      <c r="M348" s="110">
        <v>10000000</v>
      </c>
      <c r="N348" s="112" t="s">
        <v>2042</v>
      </c>
    </row>
    <row r="349" spans="1:14" ht="51">
      <c r="A349" s="12" t="s">
        <v>650</v>
      </c>
      <c r="B349" s="82" t="s">
        <v>2016</v>
      </c>
      <c r="C349" s="12" t="s">
        <v>650</v>
      </c>
      <c r="D349" s="109" t="s">
        <v>1932</v>
      </c>
      <c r="E349" s="13" t="s">
        <v>74</v>
      </c>
      <c r="F349" s="70">
        <v>46023</v>
      </c>
      <c r="G349" s="70"/>
      <c r="H349" s="14"/>
      <c r="I349" s="70">
        <v>46357</v>
      </c>
      <c r="J349" s="15" t="s">
        <v>75</v>
      </c>
      <c r="K349" s="110">
        <v>9500000</v>
      </c>
      <c r="L349" s="38"/>
      <c r="M349" s="110">
        <v>9500000</v>
      </c>
      <c r="N349" s="112" t="s">
        <v>2042</v>
      </c>
    </row>
    <row r="350" spans="1:14" ht="51">
      <c r="A350" s="12" t="s">
        <v>650</v>
      </c>
      <c r="B350" s="82" t="s">
        <v>2017</v>
      </c>
      <c r="C350" s="12" t="s">
        <v>650</v>
      </c>
      <c r="D350" s="109" t="s">
        <v>1932</v>
      </c>
      <c r="E350" s="13" t="s">
        <v>74</v>
      </c>
      <c r="F350" s="70">
        <v>46023</v>
      </c>
      <c r="G350" s="70"/>
      <c r="H350" s="14"/>
      <c r="I350" s="70">
        <v>46357</v>
      </c>
      <c r="J350" s="15" t="s">
        <v>75</v>
      </c>
      <c r="K350" s="110">
        <v>750000</v>
      </c>
      <c r="L350" s="38"/>
      <c r="M350" s="110">
        <v>750000</v>
      </c>
      <c r="N350" s="112" t="s">
        <v>2042</v>
      </c>
    </row>
    <row r="351" spans="1:14" ht="51">
      <c r="A351" s="12" t="s">
        <v>637</v>
      </c>
      <c r="B351" s="82" t="s">
        <v>2018</v>
      </c>
      <c r="C351" s="12" t="s">
        <v>637</v>
      </c>
      <c r="D351" s="109" t="s">
        <v>1932</v>
      </c>
      <c r="E351" s="13" t="s">
        <v>74</v>
      </c>
      <c r="F351" s="70">
        <v>46023</v>
      </c>
      <c r="G351" s="70"/>
      <c r="H351" s="14"/>
      <c r="I351" s="70">
        <v>46357</v>
      </c>
      <c r="J351" s="15" t="s">
        <v>75</v>
      </c>
      <c r="K351" s="110">
        <v>50000</v>
      </c>
      <c r="L351" s="106"/>
      <c r="M351" s="110">
        <v>50000</v>
      </c>
      <c r="N351" s="112" t="s">
        <v>2042</v>
      </c>
    </row>
    <row r="352" spans="1:14" ht="51">
      <c r="A352" s="12" t="s">
        <v>637</v>
      </c>
      <c r="B352" s="82" t="s">
        <v>2019</v>
      </c>
      <c r="C352" s="12" t="s">
        <v>637</v>
      </c>
      <c r="D352" s="109" t="s">
        <v>1932</v>
      </c>
      <c r="E352" s="13" t="s">
        <v>74</v>
      </c>
      <c r="F352" s="70">
        <v>46023</v>
      </c>
      <c r="G352" s="70"/>
      <c r="H352" s="14"/>
      <c r="I352" s="70">
        <v>46357</v>
      </c>
      <c r="J352" s="15" t="s">
        <v>75</v>
      </c>
      <c r="K352" s="110">
        <v>10000</v>
      </c>
      <c r="L352" s="38"/>
      <c r="M352" s="110">
        <v>10000</v>
      </c>
      <c r="N352" s="112" t="s">
        <v>2042</v>
      </c>
    </row>
    <row r="353" spans="1:14" ht="51">
      <c r="A353" s="12" t="s">
        <v>637</v>
      </c>
      <c r="B353" s="82" t="s">
        <v>2020</v>
      </c>
      <c r="C353" s="12" t="s">
        <v>637</v>
      </c>
      <c r="D353" s="109" t="s">
        <v>1932</v>
      </c>
      <c r="E353" s="13" t="s">
        <v>74</v>
      </c>
      <c r="F353" s="70">
        <v>46023</v>
      </c>
      <c r="G353" s="70"/>
      <c r="H353" s="14"/>
      <c r="I353" s="70">
        <v>46357</v>
      </c>
      <c r="J353" s="15" t="s">
        <v>75</v>
      </c>
      <c r="K353" s="110">
        <v>400000</v>
      </c>
      <c r="L353" s="38"/>
      <c r="M353" s="110">
        <v>400000</v>
      </c>
      <c r="N353" s="112" t="s">
        <v>2042</v>
      </c>
    </row>
    <row r="354" spans="1:14" ht="51">
      <c r="A354" s="12" t="s">
        <v>637</v>
      </c>
      <c r="B354" s="82" t="s">
        <v>2021</v>
      </c>
      <c r="C354" s="12" t="s">
        <v>637</v>
      </c>
      <c r="D354" s="109" t="s">
        <v>1932</v>
      </c>
      <c r="E354" s="13" t="s">
        <v>74</v>
      </c>
      <c r="F354" s="70">
        <v>46023</v>
      </c>
      <c r="G354" s="70"/>
      <c r="H354" s="14"/>
      <c r="I354" s="70">
        <v>46357</v>
      </c>
      <c r="J354" s="15" t="s">
        <v>75</v>
      </c>
      <c r="K354" s="110">
        <v>290000</v>
      </c>
      <c r="L354" s="38"/>
      <c r="M354" s="110">
        <v>290000</v>
      </c>
      <c r="N354" s="112" t="s">
        <v>2042</v>
      </c>
    </row>
    <row r="355" spans="1:14" ht="38.25">
      <c r="A355" s="12" t="s">
        <v>540</v>
      </c>
      <c r="B355" s="82" t="s">
        <v>2022</v>
      </c>
      <c r="C355" s="12" t="s">
        <v>540</v>
      </c>
      <c r="D355" s="109" t="s">
        <v>1932</v>
      </c>
      <c r="E355" s="13" t="s">
        <v>74</v>
      </c>
      <c r="F355" s="70">
        <v>46023</v>
      </c>
      <c r="G355" s="70"/>
      <c r="H355" s="14"/>
      <c r="I355" s="70">
        <v>46357</v>
      </c>
      <c r="J355" s="15" t="s">
        <v>75</v>
      </c>
      <c r="K355" s="110">
        <v>1200000</v>
      </c>
      <c r="L355" s="38"/>
      <c r="M355" s="110">
        <v>1200000</v>
      </c>
      <c r="N355" s="82" t="s">
        <v>2043</v>
      </c>
    </row>
    <row r="356" spans="1:14" ht="38.25">
      <c r="A356" s="12" t="s">
        <v>540</v>
      </c>
      <c r="B356" s="82" t="s">
        <v>2023</v>
      </c>
      <c r="C356" s="12" t="s">
        <v>540</v>
      </c>
      <c r="D356" s="109" t="s">
        <v>1932</v>
      </c>
      <c r="E356" s="13" t="s">
        <v>74</v>
      </c>
      <c r="F356" s="70">
        <v>46023</v>
      </c>
      <c r="G356" s="70"/>
      <c r="H356" s="14"/>
      <c r="I356" s="70">
        <v>46357</v>
      </c>
      <c r="J356" s="15" t="s">
        <v>75</v>
      </c>
      <c r="K356" s="110">
        <v>3600000</v>
      </c>
      <c r="L356" s="38"/>
      <c r="M356" s="110">
        <v>3600000</v>
      </c>
      <c r="N356" s="82" t="s">
        <v>2043</v>
      </c>
    </row>
    <row r="357" spans="1:14" ht="38.25">
      <c r="A357" s="12" t="s">
        <v>637</v>
      </c>
      <c r="B357" s="82" t="s">
        <v>2024</v>
      </c>
      <c r="C357" s="12" t="s">
        <v>637</v>
      </c>
      <c r="D357" s="109" t="s">
        <v>1932</v>
      </c>
      <c r="E357" s="13" t="s">
        <v>74</v>
      </c>
      <c r="F357" s="70">
        <v>46023</v>
      </c>
      <c r="G357" s="70"/>
      <c r="H357" s="14"/>
      <c r="I357" s="70">
        <v>46357</v>
      </c>
      <c r="J357" s="15" t="s">
        <v>75</v>
      </c>
      <c r="K357" s="110">
        <v>960000</v>
      </c>
      <c r="L357" s="38"/>
      <c r="M357" s="110">
        <v>960000</v>
      </c>
      <c r="N357" s="82" t="s">
        <v>2043</v>
      </c>
    </row>
    <row r="358" spans="1:14" ht="51">
      <c r="A358" s="12" t="s">
        <v>650</v>
      </c>
      <c r="B358" s="82" t="s">
        <v>2025</v>
      </c>
      <c r="C358" s="12" t="s">
        <v>650</v>
      </c>
      <c r="D358" s="109" t="s">
        <v>1932</v>
      </c>
      <c r="E358" s="13" t="s">
        <v>74</v>
      </c>
      <c r="F358" s="70">
        <v>46023</v>
      </c>
      <c r="G358" s="70"/>
      <c r="H358" s="14"/>
      <c r="I358" s="70">
        <v>46357</v>
      </c>
      <c r="J358" s="15" t="s">
        <v>75</v>
      </c>
      <c r="K358" s="110">
        <v>9000000</v>
      </c>
      <c r="L358" s="38"/>
      <c r="M358" s="110">
        <v>9000000</v>
      </c>
      <c r="N358" s="82" t="s">
        <v>2044</v>
      </c>
    </row>
    <row r="359" spans="1:14" ht="51">
      <c r="A359" s="12" t="s">
        <v>650</v>
      </c>
      <c r="B359" s="82" t="s">
        <v>2026</v>
      </c>
      <c r="C359" s="12" t="s">
        <v>650</v>
      </c>
      <c r="D359" s="109" t="s">
        <v>1932</v>
      </c>
      <c r="E359" s="13" t="s">
        <v>74</v>
      </c>
      <c r="F359" s="70">
        <v>46023</v>
      </c>
      <c r="G359" s="70"/>
      <c r="H359" s="14"/>
      <c r="I359" s="70">
        <v>46357</v>
      </c>
      <c r="J359" s="15" t="s">
        <v>75</v>
      </c>
      <c r="K359" s="110">
        <v>4000000</v>
      </c>
      <c r="L359" s="38"/>
      <c r="M359" s="110">
        <v>4000000</v>
      </c>
      <c r="N359" s="82" t="s">
        <v>2044</v>
      </c>
    </row>
    <row r="360" spans="1:14" ht="51">
      <c r="A360" s="12" t="s">
        <v>650</v>
      </c>
      <c r="B360" s="82" t="s">
        <v>2027</v>
      </c>
      <c r="C360" s="12" t="s">
        <v>650</v>
      </c>
      <c r="D360" s="109" t="s">
        <v>1932</v>
      </c>
      <c r="E360" s="13" t="s">
        <v>74</v>
      </c>
      <c r="F360" s="70">
        <v>46023</v>
      </c>
      <c r="G360" s="70"/>
      <c r="H360" s="14"/>
      <c r="I360" s="70">
        <v>46357</v>
      </c>
      <c r="J360" s="15" t="s">
        <v>75</v>
      </c>
      <c r="K360" s="110">
        <v>9000000</v>
      </c>
      <c r="L360" s="38"/>
      <c r="M360" s="110">
        <v>9000000</v>
      </c>
      <c r="N360" s="82" t="s">
        <v>2044</v>
      </c>
    </row>
    <row r="361" spans="1:14" ht="51">
      <c r="A361" s="12" t="s">
        <v>637</v>
      </c>
      <c r="B361" s="82" t="s">
        <v>2028</v>
      </c>
      <c r="C361" s="12" t="s">
        <v>637</v>
      </c>
      <c r="D361" s="109" t="s">
        <v>1932</v>
      </c>
      <c r="E361" s="13" t="s">
        <v>74</v>
      </c>
      <c r="F361" s="70">
        <v>46023</v>
      </c>
      <c r="G361" s="70"/>
      <c r="H361" s="14"/>
      <c r="I361" s="70">
        <v>46357</v>
      </c>
      <c r="J361" s="15" t="s">
        <v>75</v>
      </c>
      <c r="K361" s="110">
        <v>1000000</v>
      </c>
      <c r="L361" s="38"/>
      <c r="M361" s="110">
        <v>1000000</v>
      </c>
      <c r="N361" s="82" t="s">
        <v>2044</v>
      </c>
    </row>
    <row r="362" spans="1:14" ht="38.25">
      <c r="A362" s="12" t="s">
        <v>637</v>
      </c>
      <c r="B362" s="82" t="s">
        <v>2029</v>
      </c>
      <c r="C362" s="12" t="s">
        <v>637</v>
      </c>
      <c r="D362" s="109" t="s">
        <v>1932</v>
      </c>
      <c r="E362" s="13" t="s">
        <v>74</v>
      </c>
      <c r="F362" s="70">
        <v>46023</v>
      </c>
      <c r="G362" s="70"/>
      <c r="H362" s="14"/>
      <c r="I362" s="70">
        <v>46357</v>
      </c>
      <c r="J362" s="15" t="s">
        <v>75</v>
      </c>
      <c r="K362" s="110">
        <v>7040000</v>
      </c>
      <c r="L362" s="110"/>
      <c r="M362" s="110">
        <v>7040000</v>
      </c>
      <c r="N362" s="82" t="s">
        <v>2045</v>
      </c>
    </row>
    <row r="363" spans="1:14" ht="15" customHeight="1">
      <c r="A363" s="12"/>
      <c r="B363" s="79"/>
      <c r="C363" s="66"/>
      <c r="D363" s="88"/>
      <c r="E363" s="13"/>
      <c r="F363" s="14"/>
      <c r="G363" s="14"/>
      <c r="H363" s="14"/>
      <c r="I363" s="14"/>
      <c r="J363" s="15"/>
      <c r="K363" s="93"/>
      <c r="L363" s="38"/>
      <c r="M363" s="16"/>
      <c r="N363" s="17"/>
    </row>
  </sheetData>
  <autoFilter ref="A4:AQ362"/>
  <mergeCells count="19">
    <mergeCell ref="E3:E4"/>
    <mergeCell ref="N3:N4"/>
    <mergeCell ref="O3:O4"/>
    <mergeCell ref="AH3:AP3"/>
    <mergeCell ref="AQ3:AQ4"/>
    <mergeCell ref="D1:E1"/>
    <mergeCell ref="A2:AQ2"/>
    <mergeCell ref="P3:P4"/>
    <mergeCell ref="Q3:AB3"/>
    <mergeCell ref="AC3:AC4"/>
    <mergeCell ref="AD3:AF3"/>
    <mergeCell ref="AG3:AG4"/>
    <mergeCell ref="F3:I3"/>
    <mergeCell ref="J3:J4"/>
    <mergeCell ref="K3:M3"/>
    <mergeCell ref="A3:A4"/>
    <mergeCell ref="B3:B4"/>
    <mergeCell ref="C3:C4"/>
    <mergeCell ref="D3:D4"/>
  </mergeCells>
  <conditionalFormatting sqref="K55:L60 K5:K53 K241:L241 K175:K240">
    <cfRule type="cellIs" dxfId="782" priority="19872" stopIfTrue="1" operator="equal">
      <formula>0</formula>
    </cfRule>
  </conditionalFormatting>
  <conditionalFormatting sqref="E59 E28 B106:C106 D107 B69:D105 L218:N226 E225 E233 L233:L238 M233:N240 E238:E240 L203:N211 L189:N196 L175:N183 M76:N174 E76:E183 L92:L174 K108:K174 A241:D241 A5:D6 B7:D60 B108:D240 A7:A240 B358:B362 K357:M361 A355:C356 A339:A347 C339:C347 B339:B344 K339:M344 K316:M324 B316:B324 A320:A322 C320:C322 E295:E361 B286:B291 A283:A293 C283:C293 K269:M277 D242:D362 J5:J362 N242:N362 A242:C245">
    <cfRule type="expression" dxfId="781" priority="19873" stopIfTrue="1">
      <formula>LEN(TRIM(A5))=0</formula>
    </cfRule>
  </conditionalFormatting>
  <conditionalFormatting sqref="F54:I61 F28:I28 F108:I362">
    <cfRule type="cellIs" dxfId="780" priority="19879" stopIfTrue="1" operator="equal">
      <formula>"Indicate Date"</formula>
    </cfRule>
  </conditionalFormatting>
  <conditionalFormatting sqref="O5:AB5 AD5:AE5 AG5:AO5 AQ5">
    <cfRule type="expression" dxfId="779" priority="19881" stopIfTrue="1">
      <formula>LEN(TRIM(O5))=0</formula>
    </cfRule>
  </conditionalFormatting>
  <conditionalFormatting sqref="N5">
    <cfRule type="expression" dxfId="778" priority="19882" stopIfTrue="1">
      <formula>LEN(TRIM(N5))=0</formula>
    </cfRule>
  </conditionalFormatting>
  <conditionalFormatting sqref="F5:I5">
    <cfRule type="cellIs" dxfId="777" priority="19883" stopIfTrue="1" operator="equal">
      <formula>"Indicate Date"</formula>
    </cfRule>
  </conditionalFormatting>
  <conditionalFormatting sqref="E5">
    <cfRule type="expression" dxfId="776" priority="19884" stopIfTrue="1">
      <formula>LEN(TRIM(E5))=0</formula>
    </cfRule>
  </conditionalFormatting>
  <conditionalFormatting sqref="O6:AB6 AD6:AE6 AG6:AO6 AQ6">
    <cfRule type="expression" dxfId="775" priority="19885" stopIfTrue="1">
      <formula>LEN(TRIM(O6))=0</formula>
    </cfRule>
  </conditionalFormatting>
  <conditionalFormatting sqref="N6">
    <cfRule type="expression" dxfId="774" priority="19886" stopIfTrue="1">
      <formula>LEN(TRIM(N6))=0</formula>
    </cfRule>
  </conditionalFormatting>
  <conditionalFormatting sqref="F6:I6">
    <cfRule type="cellIs" dxfId="773" priority="19887" stopIfTrue="1" operator="equal">
      <formula>"Indicate Date"</formula>
    </cfRule>
  </conditionalFormatting>
  <conditionalFormatting sqref="E6">
    <cfRule type="expression" dxfId="772" priority="19888" stopIfTrue="1">
      <formula>LEN(TRIM(E6))=0</formula>
    </cfRule>
  </conditionalFormatting>
  <conditionalFormatting sqref="O7:AB7 AD7:AE7 AG7:AO7 AQ7">
    <cfRule type="expression" dxfId="771" priority="19889" stopIfTrue="1">
      <formula>LEN(TRIM(O7))=0</formula>
    </cfRule>
  </conditionalFormatting>
  <conditionalFormatting sqref="L7 N7">
    <cfRule type="expression" dxfId="770" priority="19890" stopIfTrue="1">
      <formula>LEN(TRIM(L7))=0</formula>
    </cfRule>
  </conditionalFormatting>
  <conditionalFormatting sqref="F7:I7">
    <cfRule type="cellIs" dxfId="769" priority="19891" stopIfTrue="1" operator="equal">
      <formula>"Indicate Date"</formula>
    </cfRule>
  </conditionalFormatting>
  <conditionalFormatting sqref="E7">
    <cfRule type="expression" dxfId="768" priority="19892" stopIfTrue="1">
      <formula>LEN(TRIM(E7))=0</formula>
    </cfRule>
  </conditionalFormatting>
  <conditionalFormatting sqref="O8:AB8 AD8:AE8 AG8:AO8 AQ8">
    <cfRule type="expression" dxfId="767" priority="19893" stopIfTrue="1">
      <formula>LEN(TRIM(O8))=0</formula>
    </cfRule>
  </conditionalFormatting>
  <conditionalFormatting sqref="L8 N8">
    <cfRule type="expression" dxfId="766" priority="19894" stopIfTrue="1">
      <formula>LEN(TRIM(L8))=0</formula>
    </cfRule>
  </conditionalFormatting>
  <conditionalFormatting sqref="F8:I8">
    <cfRule type="cellIs" dxfId="765" priority="19895" stopIfTrue="1" operator="equal">
      <formula>"Indicate Date"</formula>
    </cfRule>
  </conditionalFormatting>
  <conditionalFormatting sqref="E8">
    <cfRule type="expression" dxfId="764" priority="19896" stopIfTrue="1">
      <formula>LEN(TRIM(E8))=0</formula>
    </cfRule>
  </conditionalFormatting>
  <conditionalFormatting sqref="O9:AB9 AD9:AE9 AG9:AO9 AQ9">
    <cfRule type="expression" dxfId="763" priority="19897" stopIfTrue="1">
      <formula>LEN(TRIM(O9))=0</formula>
    </cfRule>
  </conditionalFormatting>
  <conditionalFormatting sqref="N9">
    <cfRule type="expression" dxfId="762" priority="19898" stopIfTrue="1">
      <formula>LEN(TRIM(N9))=0</formula>
    </cfRule>
  </conditionalFormatting>
  <conditionalFormatting sqref="F9:I9">
    <cfRule type="cellIs" dxfId="761" priority="19899" stopIfTrue="1" operator="equal">
      <formula>"Indicate Date"</formula>
    </cfRule>
  </conditionalFormatting>
  <conditionalFormatting sqref="E9">
    <cfRule type="expression" dxfId="760" priority="19900" stopIfTrue="1">
      <formula>LEN(TRIM(E9))=0</formula>
    </cfRule>
  </conditionalFormatting>
  <conditionalFormatting sqref="O10:AB10 AD10:AE10 AG10:AO10 AQ10">
    <cfRule type="expression" dxfId="759" priority="19901" stopIfTrue="1">
      <formula>LEN(TRIM(O10))=0</formula>
    </cfRule>
  </conditionalFormatting>
  <conditionalFormatting sqref="N10">
    <cfRule type="expression" dxfId="758" priority="19902" stopIfTrue="1">
      <formula>LEN(TRIM(N10))=0</formula>
    </cfRule>
  </conditionalFormatting>
  <conditionalFormatting sqref="F10:I10">
    <cfRule type="cellIs" dxfId="757" priority="19903" stopIfTrue="1" operator="equal">
      <formula>"Indicate Date"</formula>
    </cfRule>
  </conditionalFormatting>
  <conditionalFormatting sqref="E10">
    <cfRule type="expression" dxfId="756" priority="19904" stopIfTrue="1">
      <formula>LEN(TRIM(E10))=0</formula>
    </cfRule>
  </conditionalFormatting>
  <conditionalFormatting sqref="L5">
    <cfRule type="expression" dxfId="755" priority="19922" stopIfTrue="1">
      <formula>LEN(TRIM(L5))=0</formula>
    </cfRule>
  </conditionalFormatting>
  <conditionalFormatting sqref="M6">
    <cfRule type="expression" dxfId="754" priority="19923" stopIfTrue="1">
      <formula>LEN(TRIM(M6))=0</formula>
    </cfRule>
  </conditionalFormatting>
  <conditionalFormatting sqref="L9">
    <cfRule type="expression" dxfId="753" priority="19926" stopIfTrue="1">
      <formula>LEN(TRIM(L9))=0</formula>
    </cfRule>
  </conditionalFormatting>
  <conditionalFormatting sqref="L10">
    <cfRule type="expression" dxfId="752" priority="19928" stopIfTrue="1">
      <formula>LEN(TRIM(L10))=0</formula>
    </cfRule>
  </conditionalFormatting>
  <conditionalFormatting sqref="M5">
    <cfRule type="expression" dxfId="751" priority="19869" stopIfTrue="1">
      <formula>LEN(TRIM(M5))=0</formula>
    </cfRule>
  </conditionalFormatting>
  <conditionalFormatting sqref="L6">
    <cfRule type="expression" dxfId="750" priority="19868" stopIfTrue="1">
      <formula>LEN(TRIM(L6))=0</formula>
    </cfRule>
  </conditionalFormatting>
  <conditionalFormatting sqref="M7">
    <cfRule type="expression" dxfId="749" priority="19867" stopIfTrue="1">
      <formula>LEN(TRIM(M7))=0</formula>
    </cfRule>
  </conditionalFormatting>
  <conditionalFormatting sqref="M8">
    <cfRule type="expression" dxfId="748" priority="19866" stopIfTrue="1">
      <formula>LEN(TRIM(M8))=0</formula>
    </cfRule>
  </conditionalFormatting>
  <conditionalFormatting sqref="M9">
    <cfRule type="expression" dxfId="747" priority="19865" stopIfTrue="1">
      <formula>LEN(TRIM(M9))=0</formula>
    </cfRule>
  </conditionalFormatting>
  <conditionalFormatting sqref="M10">
    <cfRule type="expression" dxfId="746" priority="19864" stopIfTrue="1">
      <formula>LEN(TRIM(M10))=0</formula>
    </cfRule>
  </conditionalFormatting>
  <conditionalFormatting sqref="O11:AB11 AD11:AE11 AG11:AO11 AQ11">
    <cfRule type="expression" dxfId="745" priority="19834" stopIfTrue="1">
      <formula>LEN(TRIM(O11))=0</formula>
    </cfRule>
  </conditionalFormatting>
  <conditionalFormatting sqref="N11">
    <cfRule type="expression" dxfId="744" priority="19835" stopIfTrue="1">
      <formula>LEN(TRIM(N11))=0</formula>
    </cfRule>
  </conditionalFormatting>
  <conditionalFormatting sqref="F11:I11">
    <cfRule type="cellIs" dxfId="743" priority="19836" stopIfTrue="1" operator="equal">
      <formula>"Indicate Date"</formula>
    </cfRule>
  </conditionalFormatting>
  <conditionalFormatting sqref="E11">
    <cfRule type="expression" dxfId="742" priority="19837" stopIfTrue="1">
      <formula>LEN(TRIM(E11))=0</formula>
    </cfRule>
  </conditionalFormatting>
  <conditionalFormatting sqref="O12:AB12 AD12:AE12 AG12:AO12 AQ12">
    <cfRule type="expression" dxfId="741" priority="19838" stopIfTrue="1">
      <formula>LEN(TRIM(O12))=0</formula>
    </cfRule>
  </conditionalFormatting>
  <conditionalFormatting sqref="N12">
    <cfRule type="expression" dxfId="740" priority="19839" stopIfTrue="1">
      <formula>LEN(TRIM(N12))=0</formula>
    </cfRule>
  </conditionalFormatting>
  <conditionalFormatting sqref="F12:I12">
    <cfRule type="cellIs" dxfId="739" priority="19840" stopIfTrue="1" operator="equal">
      <formula>"Indicate Date"</formula>
    </cfRule>
  </conditionalFormatting>
  <conditionalFormatting sqref="E12">
    <cfRule type="expression" dxfId="738" priority="19841" stopIfTrue="1">
      <formula>LEN(TRIM(E12))=0</formula>
    </cfRule>
  </conditionalFormatting>
  <conditionalFormatting sqref="O13:AB13 AD13:AE13 AG13:AO13 AQ13">
    <cfRule type="expression" dxfId="737" priority="19842" stopIfTrue="1">
      <formula>LEN(TRIM(O13))=0</formula>
    </cfRule>
  </conditionalFormatting>
  <conditionalFormatting sqref="L13 N13">
    <cfRule type="expression" dxfId="736" priority="19843" stopIfTrue="1">
      <formula>LEN(TRIM(L13))=0</formula>
    </cfRule>
  </conditionalFormatting>
  <conditionalFormatting sqref="F13:I13">
    <cfRule type="cellIs" dxfId="735" priority="19844" stopIfTrue="1" operator="equal">
      <formula>"Indicate Date"</formula>
    </cfRule>
  </conditionalFormatting>
  <conditionalFormatting sqref="E13">
    <cfRule type="expression" dxfId="734" priority="19845" stopIfTrue="1">
      <formula>LEN(TRIM(E13))=0</formula>
    </cfRule>
  </conditionalFormatting>
  <conditionalFormatting sqref="O14:AB15 AD14:AE15 AG14:AO15 AQ14:AQ15">
    <cfRule type="expression" dxfId="733" priority="19850" stopIfTrue="1">
      <formula>LEN(TRIM(O14))=0</formula>
    </cfRule>
  </conditionalFormatting>
  <conditionalFormatting sqref="M15:N15 N14">
    <cfRule type="expression" dxfId="732" priority="19851" stopIfTrue="1">
      <formula>LEN(TRIM(M14))=0</formula>
    </cfRule>
  </conditionalFormatting>
  <conditionalFormatting sqref="F14:I15">
    <cfRule type="cellIs" dxfId="731" priority="19852" stopIfTrue="1" operator="equal">
      <formula>"Indicate Date"</formula>
    </cfRule>
  </conditionalFormatting>
  <conditionalFormatting sqref="E14:E15">
    <cfRule type="expression" dxfId="730" priority="19853" stopIfTrue="1">
      <formula>LEN(TRIM(E14))=0</formula>
    </cfRule>
  </conditionalFormatting>
  <conditionalFormatting sqref="O16:AB16 AD16:AE16 AG16:AO16 AQ16">
    <cfRule type="expression" dxfId="729" priority="19854" stopIfTrue="1">
      <formula>LEN(TRIM(O16))=0</formula>
    </cfRule>
  </conditionalFormatting>
  <conditionalFormatting sqref="N16">
    <cfRule type="expression" dxfId="728" priority="19855" stopIfTrue="1">
      <formula>LEN(TRIM(N16))=0</formula>
    </cfRule>
  </conditionalFormatting>
  <conditionalFormatting sqref="F16:I16">
    <cfRule type="cellIs" dxfId="727" priority="19856" stopIfTrue="1" operator="equal">
      <formula>"Indicate Date"</formula>
    </cfRule>
  </conditionalFormatting>
  <conditionalFormatting sqref="E16">
    <cfRule type="expression" dxfId="726" priority="19857" stopIfTrue="1">
      <formula>LEN(TRIM(E16))=0</formula>
    </cfRule>
  </conditionalFormatting>
  <conditionalFormatting sqref="L11">
    <cfRule type="expression" dxfId="725" priority="19858" stopIfTrue="1">
      <formula>LEN(TRIM(L11))=0</formula>
    </cfRule>
  </conditionalFormatting>
  <conditionalFormatting sqref="M12">
    <cfRule type="expression" dxfId="724" priority="19859" stopIfTrue="1">
      <formula>LEN(TRIM(M12))=0</formula>
    </cfRule>
  </conditionalFormatting>
  <conditionalFormatting sqref="L14">
    <cfRule type="expression" dxfId="723" priority="19860" stopIfTrue="1">
      <formula>LEN(TRIM(L14))=0</formula>
    </cfRule>
  </conditionalFormatting>
  <conditionalFormatting sqref="L15">
    <cfRule type="expression" dxfId="722" priority="19861" stopIfTrue="1">
      <formula>LEN(TRIM(L15))=0</formula>
    </cfRule>
  </conditionalFormatting>
  <conditionalFormatting sqref="L16">
    <cfRule type="expression" dxfId="721" priority="19862" stopIfTrue="1">
      <formula>LEN(TRIM(L16))=0</formula>
    </cfRule>
  </conditionalFormatting>
  <conditionalFormatting sqref="M11">
    <cfRule type="expression" dxfId="720" priority="19827" stopIfTrue="1">
      <formula>LEN(TRIM(M11))=0</formula>
    </cfRule>
  </conditionalFormatting>
  <conditionalFormatting sqref="L12">
    <cfRule type="expression" dxfId="719" priority="19826" stopIfTrue="1">
      <formula>LEN(TRIM(L12))=0</formula>
    </cfRule>
  </conditionalFormatting>
  <conditionalFormatting sqref="M13">
    <cfRule type="expression" dxfId="718" priority="19825" stopIfTrue="1">
      <formula>LEN(TRIM(M13))=0</formula>
    </cfRule>
  </conditionalFormatting>
  <conditionalFormatting sqref="M14">
    <cfRule type="expression" dxfId="717" priority="19823" stopIfTrue="1">
      <formula>LEN(TRIM(M14))=0</formula>
    </cfRule>
  </conditionalFormatting>
  <conditionalFormatting sqref="M16">
    <cfRule type="expression" dxfId="716" priority="19822" stopIfTrue="1">
      <formula>LEN(TRIM(M16))=0</formula>
    </cfRule>
  </conditionalFormatting>
  <conditionalFormatting sqref="M20">
    <cfRule type="expression" dxfId="715" priority="3493" stopIfTrue="1">
      <formula>LEN(TRIM(M20))=0</formula>
    </cfRule>
  </conditionalFormatting>
  <conditionalFormatting sqref="L17:N17">
    <cfRule type="expression" dxfId="714" priority="3499" stopIfTrue="1">
      <formula>LEN(TRIM(L17))=0</formula>
    </cfRule>
  </conditionalFormatting>
  <conditionalFormatting sqref="F17:I17">
    <cfRule type="cellIs" dxfId="713" priority="3500" stopIfTrue="1" operator="equal">
      <formula>"Indicate Date"</formula>
    </cfRule>
  </conditionalFormatting>
  <conditionalFormatting sqref="E17">
    <cfRule type="expression" dxfId="712" priority="3501" stopIfTrue="1">
      <formula>LEN(TRIM(E17))=0</formula>
    </cfRule>
  </conditionalFormatting>
  <conditionalFormatting sqref="N18">
    <cfRule type="expression" dxfId="711" priority="3502" stopIfTrue="1">
      <formula>LEN(TRIM(N18))=0</formula>
    </cfRule>
  </conditionalFormatting>
  <conditionalFormatting sqref="F18:I18">
    <cfRule type="cellIs" dxfId="710" priority="3503" stopIfTrue="1" operator="equal">
      <formula>"Indicate Date"</formula>
    </cfRule>
  </conditionalFormatting>
  <conditionalFormatting sqref="E18">
    <cfRule type="expression" dxfId="709" priority="3504" stopIfTrue="1">
      <formula>LEN(TRIM(E18))=0</formula>
    </cfRule>
  </conditionalFormatting>
  <conditionalFormatting sqref="L19 N19">
    <cfRule type="expression" dxfId="708" priority="3508" stopIfTrue="1">
      <formula>LEN(TRIM(L19))=0</formula>
    </cfRule>
  </conditionalFormatting>
  <conditionalFormatting sqref="F19:I19">
    <cfRule type="cellIs" dxfId="707" priority="3509" stopIfTrue="1" operator="equal">
      <formula>"Indicate Date"</formula>
    </cfRule>
  </conditionalFormatting>
  <conditionalFormatting sqref="E19">
    <cfRule type="expression" dxfId="706" priority="3510" stopIfTrue="1">
      <formula>LEN(TRIM(E19))=0</formula>
    </cfRule>
  </conditionalFormatting>
  <conditionalFormatting sqref="L20 N20">
    <cfRule type="expression" dxfId="705" priority="3511" stopIfTrue="1">
      <formula>LEN(TRIM(L20))=0</formula>
    </cfRule>
  </conditionalFormatting>
  <conditionalFormatting sqref="F20:I20">
    <cfRule type="cellIs" dxfId="704" priority="3512" stopIfTrue="1" operator="equal">
      <formula>"Indicate Date"</formula>
    </cfRule>
  </conditionalFormatting>
  <conditionalFormatting sqref="E20">
    <cfRule type="expression" dxfId="703" priority="3513" stopIfTrue="1">
      <formula>LEN(TRIM(E20))=0</formula>
    </cfRule>
  </conditionalFormatting>
  <conditionalFormatting sqref="M22:N22 N21">
    <cfRule type="expression" dxfId="702" priority="3514" stopIfTrue="1">
      <formula>LEN(TRIM(M21))=0</formula>
    </cfRule>
  </conditionalFormatting>
  <conditionalFormatting sqref="F21:I22">
    <cfRule type="cellIs" dxfId="701" priority="3515" stopIfTrue="1" operator="equal">
      <formula>"Indicate Date"</formula>
    </cfRule>
  </conditionalFormatting>
  <conditionalFormatting sqref="E21:E22">
    <cfRule type="expression" dxfId="700" priority="3516" stopIfTrue="1">
      <formula>LEN(TRIM(E21))=0</formula>
    </cfRule>
  </conditionalFormatting>
  <conditionalFormatting sqref="N23">
    <cfRule type="expression" dxfId="699" priority="3517" stopIfTrue="1">
      <formula>LEN(TRIM(N23))=0</formula>
    </cfRule>
  </conditionalFormatting>
  <conditionalFormatting sqref="F23:I23">
    <cfRule type="cellIs" dxfId="698" priority="3518" stopIfTrue="1" operator="equal">
      <formula>"Indicate Date"</formula>
    </cfRule>
  </conditionalFormatting>
  <conditionalFormatting sqref="E23">
    <cfRule type="expression" dxfId="697" priority="3519" stopIfTrue="1">
      <formula>LEN(TRIM(E23))=0</formula>
    </cfRule>
  </conditionalFormatting>
  <conditionalFormatting sqref="L18">
    <cfRule type="expression" dxfId="696" priority="3520" stopIfTrue="1">
      <formula>LEN(TRIM(L18))=0</formula>
    </cfRule>
  </conditionalFormatting>
  <conditionalFormatting sqref="L21">
    <cfRule type="expression" dxfId="695" priority="3522" stopIfTrue="1">
      <formula>LEN(TRIM(L21))=0</formula>
    </cfRule>
  </conditionalFormatting>
  <conditionalFormatting sqref="L22">
    <cfRule type="expression" dxfId="694" priority="3523" stopIfTrue="1">
      <formula>LEN(TRIM(L22))=0</formula>
    </cfRule>
  </conditionalFormatting>
  <conditionalFormatting sqref="L23">
    <cfRule type="expression" dxfId="693" priority="3524" stopIfTrue="1">
      <formula>LEN(TRIM(L23))=0</formula>
    </cfRule>
  </conditionalFormatting>
  <conditionalFormatting sqref="M18">
    <cfRule type="expression" dxfId="692" priority="3496" stopIfTrue="1">
      <formula>LEN(TRIM(M18))=0</formula>
    </cfRule>
  </conditionalFormatting>
  <conditionalFormatting sqref="M19">
    <cfRule type="expression" dxfId="691" priority="3494" stopIfTrue="1">
      <formula>LEN(TRIM(M19))=0</formula>
    </cfRule>
  </conditionalFormatting>
  <conditionalFormatting sqref="M21">
    <cfRule type="expression" dxfId="690" priority="3492" stopIfTrue="1">
      <formula>LEN(TRIM(M21))=0</formula>
    </cfRule>
  </conditionalFormatting>
  <conditionalFormatting sqref="M23">
    <cfRule type="expression" dxfId="689" priority="3491" stopIfTrue="1">
      <formula>LEN(TRIM(M23))=0</formula>
    </cfRule>
  </conditionalFormatting>
  <conditionalFormatting sqref="M27">
    <cfRule type="expression" dxfId="688" priority="3458" stopIfTrue="1">
      <formula>LEN(TRIM(M27))=0</formula>
    </cfRule>
  </conditionalFormatting>
  <conditionalFormatting sqref="L24:N24">
    <cfRule type="expression" dxfId="687" priority="3464" stopIfTrue="1">
      <formula>LEN(TRIM(L24))=0</formula>
    </cfRule>
  </conditionalFormatting>
  <conditionalFormatting sqref="F24:I24">
    <cfRule type="cellIs" dxfId="686" priority="3465" stopIfTrue="1" operator="equal">
      <formula>"Indicate Date"</formula>
    </cfRule>
  </conditionalFormatting>
  <conditionalFormatting sqref="E24">
    <cfRule type="expression" dxfId="685" priority="3466" stopIfTrue="1">
      <formula>LEN(TRIM(E24))=0</formula>
    </cfRule>
  </conditionalFormatting>
  <conditionalFormatting sqref="N25">
    <cfRule type="expression" dxfId="684" priority="3470" stopIfTrue="1">
      <formula>LEN(TRIM(N25))=0</formula>
    </cfRule>
  </conditionalFormatting>
  <conditionalFormatting sqref="F25:I25">
    <cfRule type="cellIs" dxfId="683" priority="3471" stopIfTrue="1" operator="equal">
      <formula>"Indicate Date"</formula>
    </cfRule>
  </conditionalFormatting>
  <conditionalFormatting sqref="E25">
    <cfRule type="expression" dxfId="682" priority="3472" stopIfTrue="1">
      <formula>LEN(TRIM(E25))=0</formula>
    </cfRule>
  </conditionalFormatting>
  <conditionalFormatting sqref="L26 N26">
    <cfRule type="expression" dxfId="681" priority="3473" stopIfTrue="1">
      <formula>LEN(TRIM(L26))=0</formula>
    </cfRule>
  </conditionalFormatting>
  <conditionalFormatting sqref="F26:I26">
    <cfRule type="cellIs" dxfId="680" priority="3474" stopIfTrue="1" operator="equal">
      <formula>"Indicate Date"</formula>
    </cfRule>
  </conditionalFormatting>
  <conditionalFormatting sqref="E26">
    <cfRule type="expression" dxfId="679" priority="3475" stopIfTrue="1">
      <formula>LEN(TRIM(E26))=0</formula>
    </cfRule>
  </conditionalFormatting>
  <conditionalFormatting sqref="L27 N27">
    <cfRule type="expression" dxfId="678" priority="3476" stopIfTrue="1">
      <formula>LEN(TRIM(L27))=0</formula>
    </cfRule>
  </conditionalFormatting>
  <conditionalFormatting sqref="F27:I27">
    <cfRule type="cellIs" dxfId="677" priority="3477" stopIfTrue="1" operator="equal">
      <formula>"Indicate Date"</formula>
    </cfRule>
  </conditionalFormatting>
  <conditionalFormatting sqref="E27">
    <cfRule type="expression" dxfId="676" priority="3478" stopIfTrue="1">
      <formula>LEN(TRIM(E27))=0</formula>
    </cfRule>
  </conditionalFormatting>
  <conditionalFormatting sqref="M28:N28">
    <cfRule type="expression" dxfId="675" priority="3479" stopIfTrue="1">
      <formula>LEN(TRIM(M28))=0</formula>
    </cfRule>
  </conditionalFormatting>
  <conditionalFormatting sqref="N29">
    <cfRule type="expression" dxfId="674" priority="3482" stopIfTrue="1">
      <formula>LEN(TRIM(N29))=0</formula>
    </cfRule>
  </conditionalFormatting>
  <conditionalFormatting sqref="F29:I29">
    <cfRule type="cellIs" dxfId="673" priority="3483" stopIfTrue="1" operator="equal">
      <formula>"Indicate Date"</formula>
    </cfRule>
  </conditionalFormatting>
  <conditionalFormatting sqref="E29">
    <cfRule type="expression" dxfId="672" priority="3484" stopIfTrue="1">
      <formula>LEN(TRIM(E29))=0</formula>
    </cfRule>
  </conditionalFormatting>
  <conditionalFormatting sqref="M25">
    <cfRule type="expression" dxfId="671" priority="3486" stopIfTrue="1">
      <formula>LEN(TRIM(M25))=0</formula>
    </cfRule>
  </conditionalFormatting>
  <conditionalFormatting sqref="L28">
    <cfRule type="expression" dxfId="670" priority="3488" stopIfTrue="1">
      <formula>LEN(TRIM(L28))=0</formula>
    </cfRule>
  </conditionalFormatting>
  <conditionalFormatting sqref="L29">
    <cfRule type="expression" dxfId="669" priority="3489" stopIfTrue="1">
      <formula>LEN(TRIM(L29))=0</formula>
    </cfRule>
  </conditionalFormatting>
  <conditionalFormatting sqref="L25">
    <cfRule type="expression" dxfId="668" priority="3460" stopIfTrue="1">
      <formula>LEN(TRIM(L25))=0</formula>
    </cfRule>
  </conditionalFormatting>
  <conditionalFormatting sqref="M26">
    <cfRule type="expression" dxfId="667" priority="3459" stopIfTrue="1">
      <formula>LEN(TRIM(M26))=0</formula>
    </cfRule>
  </conditionalFormatting>
  <conditionalFormatting sqref="M29">
    <cfRule type="expression" dxfId="666" priority="3456" stopIfTrue="1">
      <formula>LEN(TRIM(M29))=0</formula>
    </cfRule>
  </conditionalFormatting>
  <conditionalFormatting sqref="M33">
    <cfRule type="expression" dxfId="665" priority="3423" stopIfTrue="1">
      <formula>LEN(TRIM(M33))=0</formula>
    </cfRule>
  </conditionalFormatting>
  <conditionalFormatting sqref="L30:N30">
    <cfRule type="expression" dxfId="664" priority="3429" stopIfTrue="1">
      <formula>LEN(TRIM(L30))=0</formula>
    </cfRule>
  </conditionalFormatting>
  <conditionalFormatting sqref="F30:I30">
    <cfRule type="cellIs" dxfId="663" priority="3430" stopIfTrue="1" operator="equal">
      <formula>"Indicate Date"</formula>
    </cfRule>
  </conditionalFormatting>
  <conditionalFormatting sqref="E30">
    <cfRule type="expression" dxfId="662" priority="3431" stopIfTrue="1">
      <formula>LEN(TRIM(E30))=0</formula>
    </cfRule>
  </conditionalFormatting>
  <conditionalFormatting sqref="N31">
    <cfRule type="expression" dxfId="661" priority="3435" stopIfTrue="1">
      <formula>LEN(TRIM(N31))=0</formula>
    </cfRule>
  </conditionalFormatting>
  <conditionalFormatting sqref="F31:I31">
    <cfRule type="cellIs" dxfId="660" priority="3436" stopIfTrue="1" operator="equal">
      <formula>"Indicate Date"</formula>
    </cfRule>
  </conditionalFormatting>
  <conditionalFormatting sqref="E31">
    <cfRule type="expression" dxfId="659" priority="3437" stopIfTrue="1">
      <formula>LEN(TRIM(E31))=0</formula>
    </cfRule>
  </conditionalFormatting>
  <conditionalFormatting sqref="L32 N32">
    <cfRule type="expression" dxfId="658" priority="3438" stopIfTrue="1">
      <formula>LEN(TRIM(L32))=0</formula>
    </cfRule>
  </conditionalFormatting>
  <conditionalFormatting sqref="F32:I32">
    <cfRule type="cellIs" dxfId="657" priority="3439" stopIfTrue="1" operator="equal">
      <formula>"Indicate Date"</formula>
    </cfRule>
  </conditionalFormatting>
  <conditionalFormatting sqref="E32">
    <cfRule type="expression" dxfId="656" priority="3440" stopIfTrue="1">
      <formula>LEN(TRIM(E32))=0</formula>
    </cfRule>
  </conditionalFormatting>
  <conditionalFormatting sqref="L33 N33">
    <cfRule type="expression" dxfId="655" priority="3441" stopIfTrue="1">
      <formula>LEN(TRIM(L33))=0</formula>
    </cfRule>
  </conditionalFormatting>
  <conditionalFormatting sqref="F33:I33">
    <cfRule type="cellIs" dxfId="654" priority="3442" stopIfTrue="1" operator="equal">
      <formula>"Indicate Date"</formula>
    </cfRule>
  </conditionalFormatting>
  <conditionalFormatting sqref="E33">
    <cfRule type="expression" dxfId="653" priority="3443" stopIfTrue="1">
      <formula>LEN(TRIM(E33))=0</formula>
    </cfRule>
  </conditionalFormatting>
  <conditionalFormatting sqref="M35:N35 N34">
    <cfRule type="expression" dxfId="652" priority="3444" stopIfTrue="1">
      <formula>LEN(TRIM(M34))=0</formula>
    </cfRule>
  </conditionalFormatting>
  <conditionalFormatting sqref="F34:I35">
    <cfRule type="cellIs" dxfId="651" priority="3445" stopIfTrue="1" operator="equal">
      <formula>"Indicate Date"</formula>
    </cfRule>
  </conditionalFormatting>
  <conditionalFormatting sqref="E34:E35">
    <cfRule type="expression" dxfId="650" priority="3446" stopIfTrue="1">
      <formula>LEN(TRIM(E34))=0</formula>
    </cfRule>
  </conditionalFormatting>
  <conditionalFormatting sqref="M31">
    <cfRule type="expression" dxfId="649" priority="3451" stopIfTrue="1">
      <formula>LEN(TRIM(M31))=0</formula>
    </cfRule>
  </conditionalFormatting>
  <conditionalFormatting sqref="L34">
    <cfRule type="expression" dxfId="648" priority="3452" stopIfTrue="1">
      <formula>LEN(TRIM(L34))=0</formula>
    </cfRule>
  </conditionalFormatting>
  <conditionalFormatting sqref="L35">
    <cfRule type="expression" dxfId="647" priority="3453" stopIfTrue="1">
      <formula>LEN(TRIM(L35))=0</formula>
    </cfRule>
  </conditionalFormatting>
  <conditionalFormatting sqref="L31">
    <cfRule type="expression" dxfId="646" priority="3425" stopIfTrue="1">
      <formula>LEN(TRIM(L31))=0</formula>
    </cfRule>
  </conditionalFormatting>
  <conditionalFormatting sqref="M32">
    <cfRule type="expression" dxfId="645" priority="3424" stopIfTrue="1">
      <formula>LEN(TRIM(M32))=0</formula>
    </cfRule>
  </conditionalFormatting>
  <conditionalFormatting sqref="M34">
    <cfRule type="expression" dxfId="644" priority="3422" stopIfTrue="1">
      <formula>LEN(TRIM(M34))=0</formula>
    </cfRule>
  </conditionalFormatting>
  <conditionalFormatting sqref="M40">
    <cfRule type="expression" dxfId="643" priority="3388" stopIfTrue="1">
      <formula>LEN(TRIM(M40))=0</formula>
    </cfRule>
  </conditionalFormatting>
  <conditionalFormatting sqref="L36:N36">
    <cfRule type="expression" dxfId="642" priority="3394" stopIfTrue="1">
      <formula>LEN(TRIM(L36))=0</formula>
    </cfRule>
  </conditionalFormatting>
  <conditionalFormatting sqref="F36:I36">
    <cfRule type="cellIs" dxfId="641" priority="3395" stopIfTrue="1" operator="equal">
      <formula>"Indicate Date"</formula>
    </cfRule>
  </conditionalFormatting>
  <conditionalFormatting sqref="E36">
    <cfRule type="expression" dxfId="640" priority="3396" stopIfTrue="1">
      <formula>LEN(TRIM(E36))=0</formula>
    </cfRule>
  </conditionalFormatting>
  <conditionalFormatting sqref="N37">
    <cfRule type="expression" dxfId="639" priority="3397" stopIfTrue="1">
      <formula>LEN(TRIM(N37))=0</formula>
    </cfRule>
  </conditionalFormatting>
  <conditionalFormatting sqref="F37:I37">
    <cfRule type="cellIs" dxfId="638" priority="3398" stopIfTrue="1" operator="equal">
      <formula>"Indicate Date"</formula>
    </cfRule>
  </conditionalFormatting>
  <conditionalFormatting sqref="E37">
    <cfRule type="expression" dxfId="637" priority="3399" stopIfTrue="1">
      <formula>LEN(TRIM(E37))=0</formula>
    </cfRule>
  </conditionalFormatting>
  <conditionalFormatting sqref="N38">
    <cfRule type="expression" dxfId="636" priority="3400" stopIfTrue="1">
      <formula>LEN(TRIM(N38))=0</formula>
    </cfRule>
  </conditionalFormatting>
  <conditionalFormatting sqref="F38:I38">
    <cfRule type="cellIs" dxfId="635" priority="3401" stopIfTrue="1" operator="equal">
      <formula>"Indicate Date"</formula>
    </cfRule>
  </conditionalFormatting>
  <conditionalFormatting sqref="E38">
    <cfRule type="expression" dxfId="634" priority="3402" stopIfTrue="1">
      <formula>LEN(TRIM(E38))=0</formula>
    </cfRule>
  </conditionalFormatting>
  <conditionalFormatting sqref="L39 N39">
    <cfRule type="expression" dxfId="633" priority="3403" stopIfTrue="1">
      <formula>LEN(TRIM(L39))=0</formula>
    </cfRule>
  </conditionalFormatting>
  <conditionalFormatting sqref="F39:I39">
    <cfRule type="cellIs" dxfId="632" priority="3404" stopIfTrue="1" operator="equal">
      <formula>"Indicate Date"</formula>
    </cfRule>
  </conditionalFormatting>
  <conditionalFormatting sqref="E39">
    <cfRule type="expression" dxfId="631" priority="3405" stopIfTrue="1">
      <formula>LEN(TRIM(E39))=0</formula>
    </cfRule>
  </conditionalFormatting>
  <conditionalFormatting sqref="L40 N40">
    <cfRule type="expression" dxfId="630" priority="3406" stopIfTrue="1">
      <formula>LEN(TRIM(L40))=0</formula>
    </cfRule>
  </conditionalFormatting>
  <conditionalFormatting sqref="F40:I40">
    <cfRule type="cellIs" dxfId="629" priority="3407" stopIfTrue="1" operator="equal">
      <formula>"Indicate Date"</formula>
    </cfRule>
  </conditionalFormatting>
  <conditionalFormatting sqref="E40">
    <cfRule type="expression" dxfId="628" priority="3408" stopIfTrue="1">
      <formula>LEN(TRIM(E40))=0</formula>
    </cfRule>
  </conditionalFormatting>
  <conditionalFormatting sqref="N41">
    <cfRule type="expression" dxfId="627" priority="3409" stopIfTrue="1">
      <formula>LEN(TRIM(N41))=0</formula>
    </cfRule>
  </conditionalFormatting>
  <conditionalFormatting sqref="F41:I41">
    <cfRule type="cellIs" dxfId="626" priority="3410" stopIfTrue="1" operator="equal">
      <formula>"Indicate Date"</formula>
    </cfRule>
  </conditionalFormatting>
  <conditionalFormatting sqref="E41">
    <cfRule type="expression" dxfId="625" priority="3411" stopIfTrue="1">
      <formula>LEN(TRIM(E41))=0</formula>
    </cfRule>
  </conditionalFormatting>
  <conditionalFormatting sqref="N42">
    <cfRule type="expression" dxfId="624" priority="3412" stopIfTrue="1">
      <formula>LEN(TRIM(N42))=0</formula>
    </cfRule>
  </conditionalFormatting>
  <conditionalFormatting sqref="F42:I42">
    <cfRule type="cellIs" dxfId="623" priority="3413" stopIfTrue="1" operator="equal">
      <formula>"Indicate Date"</formula>
    </cfRule>
  </conditionalFormatting>
  <conditionalFormatting sqref="E42">
    <cfRule type="expression" dxfId="622" priority="3414" stopIfTrue="1">
      <formula>LEN(TRIM(E42))=0</formula>
    </cfRule>
  </conditionalFormatting>
  <conditionalFormatting sqref="L37">
    <cfRule type="expression" dxfId="621" priority="3415" stopIfTrue="1">
      <formula>LEN(TRIM(L37))=0</formula>
    </cfRule>
  </conditionalFormatting>
  <conditionalFormatting sqref="M38">
    <cfRule type="expression" dxfId="620" priority="3416" stopIfTrue="1">
      <formula>LEN(TRIM(M38))=0</formula>
    </cfRule>
  </conditionalFormatting>
  <conditionalFormatting sqref="L41">
    <cfRule type="expression" dxfId="619" priority="3417" stopIfTrue="1">
      <formula>LEN(TRIM(L41))=0</formula>
    </cfRule>
  </conditionalFormatting>
  <conditionalFormatting sqref="L42">
    <cfRule type="expression" dxfId="618" priority="3419" stopIfTrue="1">
      <formula>LEN(TRIM(L42))=0</formula>
    </cfRule>
  </conditionalFormatting>
  <conditionalFormatting sqref="M37">
    <cfRule type="expression" dxfId="617" priority="3391" stopIfTrue="1">
      <formula>LEN(TRIM(M37))=0</formula>
    </cfRule>
  </conditionalFormatting>
  <conditionalFormatting sqref="L38">
    <cfRule type="expression" dxfId="616" priority="3390" stopIfTrue="1">
      <formula>LEN(TRIM(L38))=0</formula>
    </cfRule>
  </conditionalFormatting>
  <conditionalFormatting sqref="M39">
    <cfRule type="expression" dxfId="615" priority="3389" stopIfTrue="1">
      <formula>LEN(TRIM(M39))=0</formula>
    </cfRule>
  </conditionalFormatting>
  <conditionalFormatting sqref="M41">
    <cfRule type="expression" dxfId="614" priority="3387" stopIfTrue="1">
      <formula>LEN(TRIM(M41))=0</formula>
    </cfRule>
  </conditionalFormatting>
  <conditionalFormatting sqref="M42">
    <cfRule type="expression" dxfId="613" priority="3386" stopIfTrue="1">
      <formula>LEN(TRIM(M42))=0</formula>
    </cfRule>
  </conditionalFormatting>
  <conditionalFormatting sqref="M46">
    <cfRule type="expression" dxfId="612" priority="3353" stopIfTrue="1">
      <formula>LEN(TRIM(M46))=0</formula>
    </cfRule>
  </conditionalFormatting>
  <conditionalFormatting sqref="L43:N43">
    <cfRule type="expression" dxfId="611" priority="3359" stopIfTrue="1">
      <formula>LEN(TRIM(L43))=0</formula>
    </cfRule>
  </conditionalFormatting>
  <conditionalFormatting sqref="F43:I43">
    <cfRule type="cellIs" dxfId="610" priority="3360" stopIfTrue="1" operator="equal">
      <formula>"Indicate Date"</formula>
    </cfRule>
  </conditionalFormatting>
  <conditionalFormatting sqref="E43">
    <cfRule type="expression" dxfId="609" priority="3361" stopIfTrue="1">
      <formula>LEN(TRIM(E43))=0</formula>
    </cfRule>
  </conditionalFormatting>
  <conditionalFormatting sqref="N44">
    <cfRule type="expression" dxfId="608" priority="3362" stopIfTrue="1">
      <formula>LEN(TRIM(N44))=0</formula>
    </cfRule>
  </conditionalFormatting>
  <conditionalFormatting sqref="F44:I44">
    <cfRule type="cellIs" dxfId="607" priority="3363" stopIfTrue="1" operator="equal">
      <formula>"Indicate Date"</formula>
    </cfRule>
  </conditionalFormatting>
  <conditionalFormatting sqref="E44">
    <cfRule type="expression" dxfId="606" priority="3364" stopIfTrue="1">
      <formula>LEN(TRIM(E44))=0</formula>
    </cfRule>
  </conditionalFormatting>
  <conditionalFormatting sqref="N45">
    <cfRule type="expression" dxfId="605" priority="3365" stopIfTrue="1">
      <formula>LEN(TRIM(N45))=0</formula>
    </cfRule>
  </conditionalFormatting>
  <conditionalFormatting sqref="F45:I45">
    <cfRule type="cellIs" dxfId="604" priority="3366" stopIfTrue="1" operator="equal">
      <formula>"Indicate Date"</formula>
    </cfRule>
  </conditionalFormatting>
  <conditionalFormatting sqref="E45">
    <cfRule type="expression" dxfId="603" priority="3367" stopIfTrue="1">
      <formula>LEN(TRIM(E45))=0</formula>
    </cfRule>
  </conditionalFormatting>
  <conditionalFormatting sqref="L46 N46">
    <cfRule type="expression" dxfId="602" priority="3371" stopIfTrue="1">
      <formula>LEN(TRIM(L46))=0</formula>
    </cfRule>
  </conditionalFormatting>
  <conditionalFormatting sqref="F46:I46">
    <cfRule type="cellIs" dxfId="601" priority="3372" stopIfTrue="1" operator="equal">
      <formula>"Indicate Date"</formula>
    </cfRule>
  </conditionalFormatting>
  <conditionalFormatting sqref="E46">
    <cfRule type="expression" dxfId="600" priority="3373" stopIfTrue="1">
      <formula>LEN(TRIM(E46))=0</formula>
    </cfRule>
  </conditionalFormatting>
  <conditionalFormatting sqref="N47">
    <cfRule type="expression" dxfId="599" priority="3374" stopIfTrue="1">
      <formula>LEN(TRIM(N47))=0</formula>
    </cfRule>
  </conditionalFormatting>
  <conditionalFormatting sqref="F47:I47">
    <cfRule type="cellIs" dxfId="598" priority="3375" stopIfTrue="1" operator="equal">
      <formula>"Indicate Date"</formula>
    </cfRule>
  </conditionalFormatting>
  <conditionalFormatting sqref="E47">
    <cfRule type="expression" dxfId="597" priority="3376" stopIfTrue="1">
      <formula>LEN(TRIM(E47))=0</formula>
    </cfRule>
  </conditionalFormatting>
  <conditionalFormatting sqref="N48">
    <cfRule type="expression" dxfId="596" priority="3377" stopIfTrue="1">
      <formula>LEN(TRIM(N48))=0</formula>
    </cfRule>
  </conditionalFormatting>
  <conditionalFormatting sqref="F48:I48">
    <cfRule type="cellIs" dxfId="595" priority="3378" stopIfTrue="1" operator="equal">
      <formula>"Indicate Date"</formula>
    </cfRule>
  </conditionalFormatting>
  <conditionalFormatting sqref="E48">
    <cfRule type="expression" dxfId="594" priority="3379" stopIfTrue="1">
      <formula>LEN(TRIM(E48))=0</formula>
    </cfRule>
  </conditionalFormatting>
  <conditionalFormatting sqref="L44">
    <cfRule type="expression" dxfId="593" priority="3380" stopIfTrue="1">
      <formula>LEN(TRIM(L44))=0</formula>
    </cfRule>
  </conditionalFormatting>
  <conditionalFormatting sqref="M45">
    <cfRule type="expression" dxfId="592" priority="3381" stopIfTrue="1">
      <formula>LEN(TRIM(M45))=0</formula>
    </cfRule>
  </conditionalFormatting>
  <conditionalFormatting sqref="L47">
    <cfRule type="expression" dxfId="591" priority="3382" stopIfTrue="1">
      <formula>LEN(TRIM(L47))=0</formula>
    </cfRule>
  </conditionalFormatting>
  <conditionalFormatting sqref="L48">
    <cfRule type="expression" dxfId="590" priority="3384" stopIfTrue="1">
      <formula>LEN(TRIM(L48))=0</formula>
    </cfRule>
  </conditionalFormatting>
  <conditionalFormatting sqref="M44">
    <cfRule type="expression" dxfId="589" priority="3356" stopIfTrue="1">
      <formula>LEN(TRIM(M44))=0</formula>
    </cfRule>
  </conditionalFormatting>
  <conditionalFormatting sqref="L45">
    <cfRule type="expression" dxfId="588" priority="3355" stopIfTrue="1">
      <formula>LEN(TRIM(L45))=0</formula>
    </cfRule>
  </conditionalFormatting>
  <conditionalFormatting sqref="M47">
    <cfRule type="expression" dxfId="587" priority="3352" stopIfTrue="1">
      <formula>LEN(TRIM(M47))=0</formula>
    </cfRule>
  </conditionalFormatting>
  <conditionalFormatting sqref="M48">
    <cfRule type="expression" dxfId="586" priority="3351" stopIfTrue="1">
      <formula>LEN(TRIM(M48))=0</formula>
    </cfRule>
  </conditionalFormatting>
  <conditionalFormatting sqref="K54">
    <cfRule type="cellIs" dxfId="585" priority="3322" stopIfTrue="1" operator="equal">
      <formula>0</formula>
    </cfRule>
  </conditionalFormatting>
  <conditionalFormatting sqref="L50">
    <cfRule type="expression" dxfId="584" priority="3320" stopIfTrue="1">
      <formula>LEN(TRIM(L50))=0</formula>
    </cfRule>
  </conditionalFormatting>
  <conditionalFormatting sqref="N49">
    <cfRule type="expression" dxfId="583" priority="3327" stopIfTrue="1">
      <formula>LEN(TRIM(N49))=0</formula>
    </cfRule>
  </conditionalFormatting>
  <conditionalFormatting sqref="F49:I49">
    <cfRule type="cellIs" dxfId="582" priority="3328" stopIfTrue="1" operator="equal">
      <formula>"Indicate Date"</formula>
    </cfRule>
  </conditionalFormatting>
  <conditionalFormatting sqref="E49">
    <cfRule type="expression" dxfId="581" priority="3329" stopIfTrue="1">
      <formula>LEN(TRIM(E49))=0</formula>
    </cfRule>
  </conditionalFormatting>
  <conditionalFormatting sqref="N50">
    <cfRule type="expression" dxfId="580" priority="3330" stopIfTrue="1">
      <formula>LEN(TRIM(N50))=0</formula>
    </cfRule>
  </conditionalFormatting>
  <conditionalFormatting sqref="F50:I50">
    <cfRule type="cellIs" dxfId="579" priority="3331" stopIfTrue="1" operator="equal">
      <formula>"Indicate Date"</formula>
    </cfRule>
  </conditionalFormatting>
  <conditionalFormatting sqref="E50">
    <cfRule type="expression" dxfId="578" priority="3332" stopIfTrue="1">
      <formula>LEN(TRIM(E50))=0</formula>
    </cfRule>
  </conditionalFormatting>
  <conditionalFormatting sqref="L51 N51">
    <cfRule type="expression" dxfId="577" priority="3333" stopIfTrue="1">
      <formula>LEN(TRIM(L51))=0</formula>
    </cfRule>
  </conditionalFormatting>
  <conditionalFormatting sqref="F51:I51">
    <cfRule type="cellIs" dxfId="576" priority="3334" stopIfTrue="1" operator="equal">
      <formula>"Indicate Date"</formula>
    </cfRule>
  </conditionalFormatting>
  <conditionalFormatting sqref="E51">
    <cfRule type="expression" dxfId="575" priority="3335" stopIfTrue="1">
      <formula>LEN(TRIM(E51))=0</formula>
    </cfRule>
  </conditionalFormatting>
  <conditionalFormatting sqref="M53:N53 N52">
    <cfRule type="expression" dxfId="574" priority="3339" stopIfTrue="1">
      <formula>LEN(TRIM(M52))=0</formula>
    </cfRule>
  </conditionalFormatting>
  <conditionalFormatting sqref="F52:I53">
    <cfRule type="cellIs" dxfId="573" priority="3340" stopIfTrue="1" operator="equal">
      <formula>"Indicate Date"</formula>
    </cfRule>
  </conditionalFormatting>
  <conditionalFormatting sqref="E52:E53">
    <cfRule type="expression" dxfId="572" priority="3341" stopIfTrue="1">
      <formula>LEN(TRIM(E52))=0</formula>
    </cfRule>
  </conditionalFormatting>
  <conditionalFormatting sqref="N54">
    <cfRule type="expression" dxfId="571" priority="3342" stopIfTrue="1">
      <formula>LEN(TRIM(N54))=0</formula>
    </cfRule>
  </conditionalFormatting>
  <conditionalFormatting sqref="E54">
    <cfRule type="expression" dxfId="570" priority="3344" stopIfTrue="1">
      <formula>LEN(TRIM(E54))=0</formula>
    </cfRule>
  </conditionalFormatting>
  <conditionalFormatting sqref="L49">
    <cfRule type="expression" dxfId="569" priority="3345" stopIfTrue="1">
      <formula>LEN(TRIM(L49))=0</formula>
    </cfRule>
  </conditionalFormatting>
  <conditionalFormatting sqref="M50">
    <cfRule type="expression" dxfId="568" priority="3346" stopIfTrue="1">
      <formula>LEN(TRIM(M50))=0</formula>
    </cfRule>
  </conditionalFormatting>
  <conditionalFormatting sqref="L52">
    <cfRule type="expression" dxfId="567" priority="3347" stopIfTrue="1">
      <formula>LEN(TRIM(L52))=0</formula>
    </cfRule>
  </conditionalFormatting>
  <conditionalFormatting sqref="L53">
    <cfRule type="expression" dxfId="566" priority="3348" stopIfTrue="1">
      <formula>LEN(TRIM(L53))=0</formula>
    </cfRule>
  </conditionalFormatting>
  <conditionalFormatting sqref="M49">
    <cfRule type="expression" dxfId="565" priority="3321" stopIfTrue="1">
      <formula>LEN(TRIM(M49))=0</formula>
    </cfRule>
  </conditionalFormatting>
  <conditionalFormatting sqref="M51">
    <cfRule type="expression" dxfId="564" priority="3319" stopIfTrue="1">
      <formula>LEN(TRIM(M51))=0</formula>
    </cfRule>
  </conditionalFormatting>
  <conditionalFormatting sqref="M52">
    <cfRule type="expression" dxfId="563" priority="3317" stopIfTrue="1">
      <formula>LEN(TRIM(M52))=0</formula>
    </cfRule>
  </conditionalFormatting>
  <conditionalFormatting sqref="M54">
    <cfRule type="expression" dxfId="562" priority="3316" stopIfTrue="1">
      <formula>LEN(TRIM(M54))=0</formula>
    </cfRule>
  </conditionalFormatting>
  <conditionalFormatting sqref="M55:N55">
    <cfRule type="expression" dxfId="561" priority="3289" stopIfTrue="1">
      <formula>LEN(TRIM(M55))=0</formula>
    </cfRule>
  </conditionalFormatting>
  <conditionalFormatting sqref="E55">
    <cfRule type="expression" dxfId="560" priority="3291" stopIfTrue="1">
      <formula>LEN(TRIM(E55))=0</formula>
    </cfRule>
  </conditionalFormatting>
  <conditionalFormatting sqref="N56">
    <cfRule type="expression" dxfId="559" priority="3292" stopIfTrue="1">
      <formula>LEN(TRIM(N56))=0</formula>
    </cfRule>
  </conditionalFormatting>
  <conditionalFormatting sqref="E56">
    <cfRule type="expression" dxfId="558" priority="3294" stopIfTrue="1">
      <formula>LEN(TRIM(E56))=0</formula>
    </cfRule>
  </conditionalFormatting>
  <conditionalFormatting sqref="N57">
    <cfRule type="expression" dxfId="557" priority="3298" stopIfTrue="1">
      <formula>LEN(TRIM(N57))=0</formula>
    </cfRule>
  </conditionalFormatting>
  <conditionalFormatting sqref="E57">
    <cfRule type="expression" dxfId="556" priority="3300" stopIfTrue="1">
      <formula>LEN(TRIM(E57))=0</formula>
    </cfRule>
  </conditionalFormatting>
  <conditionalFormatting sqref="N58">
    <cfRule type="expression" dxfId="555" priority="3301" stopIfTrue="1">
      <formula>LEN(TRIM(N58))=0</formula>
    </cfRule>
  </conditionalFormatting>
  <conditionalFormatting sqref="E58">
    <cfRule type="expression" dxfId="554" priority="3303" stopIfTrue="1">
      <formula>LEN(TRIM(E58))=0</formula>
    </cfRule>
  </conditionalFormatting>
  <conditionalFormatting sqref="M59:N59">
    <cfRule type="expression" dxfId="553" priority="3304" stopIfTrue="1">
      <formula>LEN(TRIM(M59))=0</formula>
    </cfRule>
  </conditionalFormatting>
  <conditionalFormatting sqref="N60">
    <cfRule type="expression" dxfId="552" priority="3307" stopIfTrue="1">
      <formula>LEN(TRIM(N60))=0</formula>
    </cfRule>
  </conditionalFormatting>
  <conditionalFormatting sqref="E60">
    <cfRule type="expression" dxfId="551" priority="3309" stopIfTrue="1">
      <formula>LEN(TRIM(E60))=0</formula>
    </cfRule>
  </conditionalFormatting>
  <conditionalFormatting sqref="M56">
    <cfRule type="expression" dxfId="550" priority="3286" stopIfTrue="1">
      <formula>LEN(TRIM(M56))=0</formula>
    </cfRule>
  </conditionalFormatting>
  <conditionalFormatting sqref="M57">
    <cfRule type="expression" dxfId="549" priority="3284" stopIfTrue="1">
      <formula>LEN(TRIM(M57))=0</formula>
    </cfRule>
  </conditionalFormatting>
  <conditionalFormatting sqref="M58">
    <cfRule type="expression" dxfId="548" priority="3283" stopIfTrue="1">
      <formula>LEN(TRIM(M58))=0</formula>
    </cfRule>
  </conditionalFormatting>
  <conditionalFormatting sqref="M60">
    <cfRule type="expression" dxfId="547" priority="3281" stopIfTrue="1">
      <formula>LEN(TRIM(M60))=0</formula>
    </cfRule>
  </conditionalFormatting>
  <conditionalFormatting sqref="K61:K68">
    <cfRule type="cellIs" dxfId="546" priority="3252" stopIfTrue="1" operator="equal">
      <formula>0</formula>
    </cfRule>
  </conditionalFormatting>
  <conditionalFormatting sqref="M64">
    <cfRule type="expression" dxfId="545" priority="3249" stopIfTrue="1">
      <formula>LEN(TRIM(M64))=0</formula>
    </cfRule>
  </conditionalFormatting>
  <conditionalFormatting sqref="M61:N61">
    <cfRule type="expression" dxfId="544" priority="3254" stopIfTrue="1">
      <formula>LEN(TRIM(M61))=0</formula>
    </cfRule>
  </conditionalFormatting>
  <conditionalFormatting sqref="E61">
    <cfRule type="expression" dxfId="543" priority="3256" stopIfTrue="1">
      <formula>LEN(TRIM(E61))=0</formula>
    </cfRule>
  </conditionalFormatting>
  <conditionalFormatting sqref="N62">
    <cfRule type="expression" dxfId="542" priority="3257" stopIfTrue="1">
      <formula>LEN(TRIM(N62))=0</formula>
    </cfRule>
  </conditionalFormatting>
  <conditionalFormatting sqref="E62">
    <cfRule type="expression" dxfId="541" priority="3259" stopIfTrue="1">
      <formula>LEN(TRIM(E62))=0</formula>
    </cfRule>
  </conditionalFormatting>
  <conditionalFormatting sqref="N63">
    <cfRule type="expression" dxfId="540" priority="3260" stopIfTrue="1">
      <formula>LEN(TRIM(N63))=0</formula>
    </cfRule>
  </conditionalFormatting>
  <conditionalFormatting sqref="E63">
    <cfRule type="expression" dxfId="539" priority="3262" stopIfTrue="1">
      <formula>LEN(TRIM(E63))=0</formula>
    </cfRule>
  </conditionalFormatting>
  <conditionalFormatting sqref="N64">
    <cfRule type="expression" dxfId="538" priority="3263" stopIfTrue="1">
      <formula>LEN(TRIM(N64))=0</formula>
    </cfRule>
  </conditionalFormatting>
  <conditionalFormatting sqref="E64">
    <cfRule type="expression" dxfId="537" priority="3265" stopIfTrue="1">
      <formula>LEN(TRIM(E64))=0</formula>
    </cfRule>
  </conditionalFormatting>
  <conditionalFormatting sqref="N65">
    <cfRule type="expression" dxfId="536" priority="3266" stopIfTrue="1">
      <formula>LEN(TRIM(N65))=0</formula>
    </cfRule>
  </conditionalFormatting>
  <conditionalFormatting sqref="E65">
    <cfRule type="expression" dxfId="535" priority="3268" stopIfTrue="1">
      <formula>LEN(TRIM(E65))=0</formula>
    </cfRule>
  </conditionalFormatting>
  <conditionalFormatting sqref="M67:N67 N66">
    <cfRule type="expression" dxfId="534" priority="3269" stopIfTrue="1">
      <formula>LEN(TRIM(M66))=0</formula>
    </cfRule>
  </conditionalFormatting>
  <conditionalFormatting sqref="E66:E67">
    <cfRule type="expression" dxfId="533" priority="3271" stopIfTrue="1">
      <formula>LEN(TRIM(E66))=0</formula>
    </cfRule>
  </conditionalFormatting>
  <conditionalFormatting sqref="N68">
    <cfRule type="expression" dxfId="532" priority="3272" stopIfTrue="1">
      <formula>LEN(TRIM(N68))=0</formula>
    </cfRule>
  </conditionalFormatting>
  <conditionalFormatting sqref="E68">
    <cfRule type="expression" dxfId="531" priority="3274" stopIfTrue="1">
      <formula>LEN(TRIM(E68))=0</formula>
    </cfRule>
  </conditionalFormatting>
  <conditionalFormatting sqref="M63">
    <cfRule type="expression" dxfId="530" priority="3276" stopIfTrue="1">
      <formula>LEN(TRIM(M63))=0</formula>
    </cfRule>
  </conditionalFormatting>
  <conditionalFormatting sqref="M62">
    <cfRule type="expression" dxfId="529" priority="3251" stopIfTrue="1">
      <formula>LEN(TRIM(M62))=0</formula>
    </cfRule>
  </conditionalFormatting>
  <conditionalFormatting sqref="M68">
    <cfRule type="expression" dxfId="528" priority="3246" stopIfTrue="1">
      <formula>LEN(TRIM(M68))=0</formula>
    </cfRule>
  </conditionalFormatting>
  <conditionalFormatting sqref="M65">
    <cfRule type="expression" dxfId="527" priority="3248" stopIfTrue="1">
      <formula>LEN(TRIM(M65))=0</formula>
    </cfRule>
  </conditionalFormatting>
  <conditionalFormatting sqref="M66">
    <cfRule type="expression" dxfId="526" priority="3247" stopIfTrue="1">
      <formula>LEN(TRIM(M66))=0</formula>
    </cfRule>
  </conditionalFormatting>
  <conditionalFormatting sqref="B61:D68">
    <cfRule type="expression" dxfId="525" priority="3245" stopIfTrue="1">
      <formula>LEN(TRIM(B61))=0</formula>
    </cfRule>
  </conditionalFormatting>
  <conditionalFormatting sqref="K69:K91 K107 K363">
    <cfRule type="cellIs" dxfId="524" priority="3217" stopIfTrue="1" operator="equal">
      <formula>0</formula>
    </cfRule>
  </conditionalFormatting>
  <conditionalFormatting sqref="J363">
    <cfRule type="expression" dxfId="523" priority="3218" stopIfTrue="1">
      <formula>LEN(TRIM(J363))=0</formula>
    </cfRule>
  </conditionalFormatting>
  <conditionalFormatting sqref="M69:N69">
    <cfRule type="expression" dxfId="522" priority="3219" stopIfTrue="1">
      <formula>LEN(TRIM(M69))=0</formula>
    </cfRule>
  </conditionalFormatting>
  <conditionalFormatting sqref="E69">
    <cfRule type="expression" dxfId="521" priority="3221" stopIfTrue="1">
      <formula>LEN(TRIM(E69))=0</formula>
    </cfRule>
  </conditionalFormatting>
  <conditionalFormatting sqref="N70">
    <cfRule type="expression" dxfId="520" priority="3222" stopIfTrue="1">
      <formula>LEN(TRIM(N70))=0</formula>
    </cfRule>
  </conditionalFormatting>
  <conditionalFormatting sqref="E70">
    <cfRule type="expression" dxfId="519" priority="3224" stopIfTrue="1">
      <formula>LEN(TRIM(E70))=0</formula>
    </cfRule>
  </conditionalFormatting>
  <conditionalFormatting sqref="N71">
    <cfRule type="expression" dxfId="518" priority="3225" stopIfTrue="1">
      <formula>LEN(TRIM(N71))=0</formula>
    </cfRule>
  </conditionalFormatting>
  <conditionalFormatting sqref="E71">
    <cfRule type="expression" dxfId="517" priority="3227" stopIfTrue="1">
      <formula>LEN(TRIM(E71))=0</formula>
    </cfRule>
  </conditionalFormatting>
  <conditionalFormatting sqref="N72">
    <cfRule type="expression" dxfId="516" priority="3228" stopIfTrue="1">
      <formula>LEN(TRIM(N72))=0</formula>
    </cfRule>
  </conditionalFormatting>
  <conditionalFormatting sqref="E72">
    <cfRule type="expression" dxfId="515" priority="3230" stopIfTrue="1">
      <formula>LEN(TRIM(E72))=0</formula>
    </cfRule>
  </conditionalFormatting>
  <conditionalFormatting sqref="N73">
    <cfRule type="expression" dxfId="514" priority="3231" stopIfTrue="1">
      <formula>LEN(TRIM(N73))=0</formula>
    </cfRule>
  </conditionalFormatting>
  <conditionalFormatting sqref="E73">
    <cfRule type="expression" dxfId="513" priority="3233" stopIfTrue="1">
      <formula>LEN(TRIM(E73))=0</formula>
    </cfRule>
  </conditionalFormatting>
  <conditionalFormatting sqref="M75:N75 N74">
    <cfRule type="expression" dxfId="512" priority="3234" stopIfTrue="1">
      <formula>LEN(TRIM(M74))=0</formula>
    </cfRule>
  </conditionalFormatting>
  <conditionalFormatting sqref="E74:E75">
    <cfRule type="expression" dxfId="511" priority="3236" stopIfTrue="1">
      <formula>LEN(TRIM(E74))=0</formula>
    </cfRule>
  </conditionalFormatting>
  <conditionalFormatting sqref="N363">
    <cfRule type="expression" dxfId="510" priority="3237" stopIfTrue="1">
      <formula>LEN(TRIM(N363))=0</formula>
    </cfRule>
  </conditionalFormatting>
  <conditionalFormatting sqref="F363:I363">
    <cfRule type="cellIs" dxfId="509" priority="3238" stopIfTrue="1" operator="equal">
      <formula>"Indicate Date"</formula>
    </cfRule>
  </conditionalFormatting>
  <conditionalFormatting sqref="E363">
    <cfRule type="expression" dxfId="508" priority="3239" stopIfTrue="1">
      <formula>LEN(TRIM(E363))=0</formula>
    </cfRule>
  </conditionalFormatting>
  <conditionalFormatting sqref="M71">
    <cfRule type="expression" dxfId="507" priority="3241" stopIfTrue="1">
      <formula>LEN(TRIM(M71))=0</formula>
    </cfRule>
  </conditionalFormatting>
  <conditionalFormatting sqref="L363">
    <cfRule type="expression" dxfId="506" priority="3244" stopIfTrue="1">
      <formula>LEN(TRIM(L363))=0</formula>
    </cfRule>
  </conditionalFormatting>
  <conditionalFormatting sqref="M70">
    <cfRule type="expression" dxfId="505" priority="3216" stopIfTrue="1">
      <formula>LEN(TRIM(M70))=0</formula>
    </cfRule>
  </conditionalFormatting>
  <conditionalFormatting sqref="M363">
    <cfRule type="expression" dxfId="504" priority="3211" stopIfTrue="1">
      <formula>LEN(TRIM(M363))=0</formula>
    </cfRule>
  </conditionalFormatting>
  <conditionalFormatting sqref="M72">
    <cfRule type="expression" dxfId="503" priority="3214" stopIfTrue="1">
      <formula>LEN(TRIM(M72))=0</formula>
    </cfRule>
  </conditionalFormatting>
  <conditionalFormatting sqref="M73">
    <cfRule type="expression" dxfId="502" priority="3213" stopIfTrue="1">
      <formula>LEN(TRIM(M73))=0</formula>
    </cfRule>
  </conditionalFormatting>
  <conditionalFormatting sqref="M74">
    <cfRule type="expression" dxfId="501" priority="3212" stopIfTrue="1">
      <formula>LEN(TRIM(M74))=0</formula>
    </cfRule>
  </conditionalFormatting>
  <conditionalFormatting sqref="B107:C107 A363:D363 B357">
    <cfRule type="expression" dxfId="500" priority="3210" stopIfTrue="1">
      <formula>LEN(TRIM(A107))=0</formula>
    </cfRule>
  </conditionalFormatting>
  <conditionalFormatting sqref="L54">
    <cfRule type="cellIs" dxfId="499" priority="3172" stopIfTrue="1" operator="equal">
      <formula>0</formula>
    </cfRule>
  </conditionalFormatting>
  <conditionalFormatting sqref="L61">
    <cfRule type="cellIs" dxfId="498" priority="3170" stopIfTrue="1" operator="equal">
      <formula>0</formula>
    </cfRule>
  </conditionalFormatting>
  <conditionalFormatting sqref="F62:I74">
    <cfRule type="cellIs" dxfId="497" priority="3169" stopIfTrue="1" operator="equal">
      <formula>"Indicate Date"</formula>
    </cfRule>
  </conditionalFormatting>
  <conditionalFormatting sqref="L62:L68">
    <cfRule type="cellIs" dxfId="496" priority="3168" stopIfTrue="1" operator="equal">
      <formula>0</formula>
    </cfRule>
  </conditionalFormatting>
  <conditionalFormatting sqref="L69:L74">
    <cfRule type="cellIs" dxfId="495" priority="3167" stopIfTrue="1" operator="equal">
      <formula>0</formula>
    </cfRule>
  </conditionalFormatting>
  <conditionalFormatting sqref="F75:I75">
    <cfRule type="cellIs" dxfId="494" priority="3166" stopIfTrue="1" operator="equal">
      <formula>"Indicate Date"</formula>
    </cfRule>
  </conditionalFormatting>
  <conditionalFormatting sqref="L75">
    <cfRule type="cellIs" dxfId="493" priority="3165" stopIfTrue="1" operator="equal">
      <formula>0</formula>
    </cfRule>
  </conditionalFormatting>
  <conditionalFormatting sqref="F76:I90">
    <cfRule type="cellIs" dxfId="492" priority="3164" stopIfTrue="1" operator="equal">
      <formula>"Indicate Date"</formula>
    </cfRule>
  </conditionalFormatting>
  <conditionalFormatting sqref="L76:L90">
    <cfRule type="cellIs" dxfId="491" priority="3163" stopIfTrue="1" operator="equal">
      <formula>0</formula>
    </cfRule>
  </conditionalFormatting>
  <conditionalFormatting sqref="F91:I91">
    <cfRule type="cellIs" dxfId="490" priority="3162" stopIfTrue="1" operator="equal">
      <formula>"Indicate Date"</formula>
    </cfRule>
  </conditionalFormatting>
  <conditionalFormatting sqref="L91">
    <cfRule type="cellIs" dxfId="489" priority="3161" stopIfTrue="1" operator="equal">
      <formula>0</formula>
    </cfRule>
  </conditionalFormatting>
  <conditionalFormatting sqref="F92:I106">
    <cfRule type="cellIs" dxfId="488" priority="3160" stopIfTrue="1" operator="equal">
      <formula>"Indicate Date"</formula>
    </cfRule>
  </conditionalFormatting>
  <conditionalFormatting sqref="K92:K106">
    <cfRule type="expression" dxfId="487" priority="3159" stopIfTrue="1">
      <formula>LEN(TRIM(K92))=0</formula>
    </cfRule>
  </conditionalFormatting>
  <conditionalFormatting sqref="D106">
    <cfRule type="expression" dxfId="486" priority="3158" stopIfTrue="1">
      <formula>LEN(TRIM(D106))=0</formula>
    </cfRule>
  </conditionalFormatting>
  <conditionalFormatting sqref="F107:I107">
    <cfRule type="cellIs" dxfId="485" priority="3157" stopIfTrue="1" operator="equal">
      <formula>"Indicate Date"</formula>
    </cfRule>
  </conditionalFormatting>
  <conditionalFormatting sqref="E235:E236">
    <cfRule type="expression" dxfId="484" priority="3151" stopIfTrue="1">
      <formula>LEN(TRIM(E235))=0</formula>
    </cfRule>
  </conditionalFormatting>
  <conditionalFormatting sqref="N241">
    <cfRule type="expression" dxfId="483" priority="3122" stopIfTrue="1">
      <formula>LEN(TRIM(N241))=0</formula>
    </cfRule>
  </conditionalFormatting>
  <conditionalFormatting sqref="E241">
    <cfRule type="expression" dxfId="482" priority="3124" stopIfTrue="1">
      <formula>LEN(TRIM(E241))=0</formula>
    </cfRule>
  </conditionalFormatting>
  <conditionalFormatting sqref="L353">
    <cfRule type="expression" dxfId="481" priority="3128" stopIfTrue="1">
      <formula>LEN(TRIM(L353))=0</formula>
    </cfRule>
  </conditionalFormatting>
  <conditionalFormatting sqref="L214 N214">
    <cfRule type="expression" dxfId="480" priority="3042" stopIfTrue="1">
      <formula>LEN(TRIM(L214))=0</formula>
    </cfRule>
  </conditionalFormatting>
  <conditionalFormatting sqref="L354">
    <cfRule type="expression" dxfId="479" priority="3131" stopIfTrue="1">
      <formula>LEN(TRIM(L354))=0</formula>
    </cfRule>
  </conditionalFormatting>
  <conditionalFormatting sqref="L215 N215">
    <cfRule type="expression" dxfId="478" priority="3045" stopIfTrue="1">
      <formula>LEN(TRIM(L215))=0</formula>
    </cfRule>
  </conditionalFormatting>
  <conditionalFormatting sqref="M355">
    <cfRule type="expression" dxfId="477" priority="3134" stopIfTrue="1">
      <formula>LEN(TRIM(M355))=0</formula>
    </cfRule>
  </conditionalFormatting>
  <conditionalFormatting sqref="M217:N217 N216">
    <cfRule type="expression" dxfId="476" priority="3048" stopIfTrue="1">
      <formula>LEN(TRIM(M216))=0</formula>
    </cfRule>
  </conditionalFormatting>
  <conditionalFormatting sqref="M352">
    <cfRule type="expression" dxfId="475" priority="3141" stopIfTrue="1">
      <formula>LEN(TRIM(M352))=0</formula>
    </cfRule>
  </conditionalFormatting>
  <conditionalFormatting sqref="L355">
    <cfRule type="expression" dxfId="474" priority="3143" stopIfTrue="1">
      <formula>LEN(TRIM(L355))=0</formula>
    </cfRule>
  </conditionalFormatting>
  <conditionalFormatting sqref="L356">
    <cfRule type="expression" dxfId="473" priority="3144" stopIfTrue="1">
      <formula>LEN(TRIM(L356))=0</formula>
    </cfRule>
  </conditionalFormatting>
  <conditionalFormatting sqref="M241 M351">
    <cfRule type="expression" dxfId="472" priority="3116" stopIfTrue="1">
      <formula>LEN(TRIM(M241))=0</formula>
    </cfRule>
  </conditionalFormatting>
  <conditionalFormatting sqref="L352">
    <cfRule type="expression" dxfId="471" priority="3115" stopIfTrue="1">
      <formula>LEN(TRIM(L352))=0</formula>
    </cfRule>
  </conditionalFormatting>
  <conditionalFormatting sqref="M353">
    <cfRule type="expression" dxfId="470" priority="3114" stopIfTrue="1">
      <formula>LEN(TRIM(M353))=0</formula>
    </cfRule>
  </conditionalFormatting>
  <conditionalFormatting sqref="M354">
    <cfRule type="expression" dxfId="469" priority="3113" stopIfTrue="1">
      <formula>LEN(TRIM(M354))=0</formula>
    </cfRule>
  </conditionalFormatting>
  <conditionalFormatting sqref="M356">
    <cfRule type="expression" dxfId="468" priority="3111" stopIfTrue="1">
      <formula>LEN(TRIM(M356))=0</formula>
    </cfRule>
  </conditionalFormatting>
  <conditionalFormatting sqref="B351:B354">
    <cfRule type="expression" dxfId="467" priority="3110" stopIfTrue="1">
      <formula>LEN(TRIM(B351))=0</formula>
    </cfRule>
  </conditionalFormatting>
  <conditionalFormatting sqref="L228">
    <cfRule type="expression" dxfId="466" priority="3097" stopIfTrue="1">
      <formula>LEN(TRIM(L228))=0</formula>
    </cfRule>
  </conditionalFormatting>
  <conditionalFormatting sqref="L227:N227">
    <cfRule type="expression" dxfId="465" priority="3076" stopIfTrue="1">
      <formula>LEN(TRIM(L227))=0</formula>
    </cfRule>
  </conditionalFormatting>
  <conditionalFormatting sqref="L199">
    <cfRule type="expression" dxfId="464" priority="2986" stopIfTrue="1">
      <formula>LEN(TRIM(L199))=0</formula>
    </cfRule>
  </conditionalFormatting>
  <conditionalFormatting sqref="N228">
    <cfRule type="expression" dxfId="463" priority="3079" stopIfTrue="1">
      <formula>LEN(TRIM(N228))=0</formula>
    </cfRule>
  </conditionalFormatting>
  <conditionalFormatting sqref="N229">
    <cfRule type="expression" dxfId="462" priority="3082" stopIfTrue="1">
      <formula>LEN(TRIM(N229))=0</formula>
    </cfRule>
  </conditionalFormatting>
  <conditionalFormatting sqref="L230 N230">
    <cfRule type="expression" dxfId="461" priority="3085" stopIfTrue="1">
      <formula>LEN(TRIM(L230))=0</formula>
    </cfRule>
  </conditionalFormatting>
  <conditionalFormatting sqref="N231">
    <cfRule type="expression" dxfId="460" priority="3091" stopIfTrue="1">
      <formula>LEN(TRIM(N231))=0</formula>
    </cfRule>
  </conditionalFormatting>
  <conditionalFormatting sqref="N232">
    <cfRule type="expression" dxfId="459" priority="3094" stopIfTrue="1">
      <formula>LEN(TRIM(N232))=0</formula>
    </cfRule>
  </conditionalFormatting>
  <conditionalFormatting sqref="L338">
    <cfRule type="expression" dxfId="458" priority="2856" stopIfTrue="1">
      <formula>LEN(TRIM(L338))=0</formula>
    </cfRule>
  </conditionalFormatting>
  <conditionalFormatting sqref="M229">
    <cfRule type="expression" dxfId="457" priority="3098" stopIfTrue="1">
      <formula>LEN(TRIM(M229))=0</formula>
    </cfRule>
  </conditionalFormatting>
  <conditionalFormatting sqref="L231">
    <cfRule type="expression" dxfId="456" priority="3099" stopIfTrue="1">
      <formula>LEN(TRIM(L231))=0</formula>
    </cfRule>
  </conditionalFormatting>
  <conditionalFormatting sqref="L232">
    <cfRule type="expression" dxfId="455" priority="3101" stopIfTrue="1">
      <formula>LEN(TRIM(L232))=0</formula>
    </cfRule>
  </conditionalFormatting>
  <conditionalFormatting sqref="M228">
    <cfRule type="expression" dxfId="454" priority="3073" stopIfTrue="1">
      <formula>LEN(TRIM(M228))=0</formula>
    </cfRule>
  </conditionalFormatting>
  <conditionalFormatting sqref="L229">
    <cfRule type="expression" dxfId="453" priority="3072" stopIfTrue="1">
      <formula>LEN(TRIM(L229))=0</formula>
    </cfRule>
  </conditionalFormatting>
  <conditionalFormatting sqref="M230">
    <cfRule type="expression" dxfId="452" priority="3071" stopIfTrue="1">
      <formula>LEN(TRIM(M230))=0</formula>
    </cfRule>
  </conditionalFormatting>
  <conditionalFormatting sqref="M231">
    <cfRule type="expression" dxfId="451" priority="3069" stopIfTrue="1">
      <formula>LEN(TRIM(M231))=0</formula>
    </cfRule>
  </conditionalFormatting>
  <conditionalFormatting sqref="M232">
    <cfRule type="expression" dxfId="450" priority="3068" stopIfTrue="1">
      <formula>LEN(TRIM(M232))=0</formula>
    </cfRule>
  </conditionalFormatting>
  <conditionalFormatting sqref="E234">
    <cfRule type="expression" dxfId="449" priority="2913" stopIfTrue="1">
      <formula>LEN(TRIM(E234))=0</formula>
    </cfRule>
  </conditionalFormatting>
  <conditionalFormatting sqref="E207">
    <cfRule type="expression" dxfId="448" priority="3065" stopIfTrue="1">
      <formula>LEN(TRIM(E207))=0</formula>
    </cfRule>
  </conditionalFormatting>
  <conditionalFormatting sqref="L213">
    <cfRule type="expression" dxfId="447" priority="3054" stopIfTrue="1">
      <formula>LEN(TRIM(L213))=0</formula>
    </cfRule>
  </conditionalFormatting>
  <conditionalFormatting sqref="L212:N212">
    <cfRule type="expression" dxfId="446" priority="3033" stopIfTrue="1">
      <formula>LEN(TRIM(L212))=0</formula>
    </cfRule>
  </conditionalFormatting>
  <conditionalFormatting sqref="N213">
    <cfRule type="expression" dxfId="445" priority="3036" stopIfTrue="1">
      <formula>LEN(TRIM(N213))=0</formula>
    </cfRule>
  </conditionalFormatting>
  <conditionalFormatting sqref="M327">
    <cfRule type="expression" dxfId="444" priority="2813" stopIfTrue="1">
      <formula>LEN(TRIM(M327))=0</formula>
    </cfRule>
  </conditionalFormatting>
  <conditionalFormatting sqref="L216">
    <cfRule type="expression" dxfId="443" priority="3056" stopIfTrue="1">
      <formula>LEN(TRIM(L216))=0</formula>
    </cfRule>
  </conditionalFormatting>
  <conditionalFormatting sqref="L217">
    <cfRule type="expression" dxfId="442" priority="3057" stopIfTrue="1">
      <formula>LEN(TRIM(L217))=0</formula>
    </cfRule>
  </conditionalFormatting>
  <conditionalFormatting sqref="M213">
    <cfRule type="expression" dxfId="441" priority="3030" stopIfTrue="1">
      <formula>LEN(TRIM(M213))=0</formula>
    </cfRule>
  </conditionalFormatting>
  <conditionalFormatting sqref="M214">
    <cfRule type="expression" dxfId="440" priority="3028" stopIfTrue="1">
      <formula>LEN(TRIM(M214))=0</formula>
    </cfRule>
  </conditionalFormatting>
  <conditionalFormatting sqref="M215">
    <cfRule type="expression" dxfId="439" priority="3027" stopIfTrue="1">
      <formula>LEN(TRIM(M215))=0</formula>
    </cfRule>
  </conditionalFormatting>
  <conditionalFormatting sqref="M216">
    <cfRule type="expression" dxfId="438" priority="3026" stopIfTrue="1">
      <formula>LEN(TRIM(M216))=0</formula>
    </cfRule>
  </conditionalFormatting>
  <conditionalFormatting sqref="L198">
    <cfRule type="expression" dxfId="437" priority="3011" stopIfTrue="1">
      <formula>LEN(TRIM(L198))=0</formula>
    </cfRule>
  </conditionalFormatting>
  <conditionalFormatting sqref="L197:N197">
    <cfRule type="expression" dxfId="436" priority="2990" stopIfTrue="1">
      <formula>LEN(TRIM(L197))=0</formula>
    </cfRule>
  </conditionalFormatting>
  <conditionalFormatting sqref="L350">
    <cfRule type="expression" dxfId="435" priority="2891" stopIfTrue="1">
      <formula>LEN(TRIM(L350))=0</formula>
    </cfRule>
  </conditionalFormatting>
  <conditionalFormatting sqref="N198">
    <cfRule type="expression" dxfId="434" priority="2993" stopIfTrue="1">
      <formula>LEN(TRIM(N198))=0</formula>
    </cfRule>
  </conditionalFormatting>
  <conditionalFormatting sqref="L187">
    <cfRule type="expression" dxfId="433" priority="2970" stopIfTrue="1">
      <formula>LEN(TRIM(L187))=0</formula>
    </cfRule>
  </conditionalFormatting>
  <conditionalFormatting sqref="N199">
    <cfRule type="expression" dxfId="432" priority="2996" stopIfTrue="1">
      <formula>LEN(TRIM(N199))=0</formula>
    </cfRule>
  </conditionalFormatting>
  <conditionalFormatting sqref="L200 N200">
    <cfRule type="expression" dxfId="431" priority="3002" stopIfTrue="1">
      <formula>LEN(TRIM(L200))=0</formula>
    </cfRule>
  </conditionalFormatting>
  <conditionalFormatting sqref="M202:N202 N201">
    <cfRule type="expression" dxfId="430" priority="3005" stopIfTrue="1">
      <formula>LEN(TRIM(M201))=0</formula>
    </cfRule>
  </conditionalFormatting>
  <conditionalFormatting sqref="M200">
    <cfRule type="expression" dxfId="429" priority="2984" stopIfTrue="1">
      <formula>LEN(TRIM(M200))=0</formula>
    </cfRule>
  </conditionalFormatting>
  <conditionalFormatting sqref="M199">
    <cfRule type="expression" dxfId="428" priority="3012" stopIfTrue="1">
      <formula>LEN(TRIM(M199))=0</formula>
    </cfRule>
  </conditionalFormatting>
  <conditionalFormatting sqref="L201">
    <cfRule type="expression" dxfId="427" priority="3013" stopIfTrue="1">
      <formula>LEN(TRIM(L201))=0</formula>
    </cfRule>
  </conditionalFormatting>
  <conditionalFormatting sqref="L202">
    <cfRule type="expression" dxfId="426" priority="3014" stopIfTrue="1">
      <formula>LEN(TRIM(L202))=0</formula>
    </cfRule>
  </conditionalFormatting>
  <conditionalFormatting sqref="M187">
    <cfRule type="expression" dxfId="425" priority="2940" stopIfTrue="1">
      <formula>LEN(TRIM(M187))=0</formula>
    </cfRule>
  </conditionalFormatting>
  <conditionalFormatting sqref="M198">
    <cfRule type="expression" dxfId="424" priority="2987" stopIfTrue="1">
      <formula>LEN(TRIM(M198))=0</formula>
    </cfRule>
  </conditionalFormatting>
  <conditionalFormatting sqref="E216">
    <cfRule type="expression" dxfId="423" priority="2909" stopIfTrue="1">
      <formula>LEN(TRIM(E216))=0</formula>
    </cfRule>
  </conditionalFormatting>
  <conditionalFormatting sqref="M201">
    <cfRule type="expression" dxfId="422" priority="2983" stopIfTrue="1">
      <formula>LEN(TRIM(M201))=0</formula>
    </cfRule>
  </conditionalFormatting>
  <conditionalFormatting sqref="E211">
    <cfRule type="expression" dxfId="421" priority="2906" stopIfTrue="1">
      <formula>LEN(TRIM(E211))=0</formula>
    </cfRule>
  </conditionalFormatting>
  <conditionalFormatting sqref="L184">
    <cfRule type="expression" dxfId="420" priority="2968" stopIfTrue="1">
      <formula>LEN(TRIM(L184))=0</formula>
    </cfRule>
  </conditionalFormatting>
  <conditionalFormatting sqref="N184">
    <cfRule type="expression" dxfId="419" priority="2950" stopIfTrue="1">
      <formula>LEN(TRIM(N184))=0</formula>
    </cfRule>
  </conditionalFormatting>
  <conditionalFormatting sqref="E232">
    <cfRule type="expression" dxfId="418" priority="2914" stopIfTrue="1">
      <formula>LEN(TRIM(E232))=0</formula>
    </cfRule>
  </conditionalFormatting>
  <conditionalFormatting sqref="L185 N185">
    <cfRule type="expression" dxfId="417" priority="2956" stopIfTrue="1">
      <formula>LEN(TRIM(L185))=0</formula>
    </cfRule>
  </conditionalFormatting>
  <conditionalFormatting sqref="E185">
    <cfRule type="expression" dxfId="416" priority="2958" stopIfTrue="1">
      <formula>LEN(TRIM(E185))=0</formula>
    </cfRule>
  </conditionalFormatting>
  <conditionalFormatting sqref="L186 N186">
    <cfRule type="expression" dxfId="415" priority="2959" stopIfTrue="1">
      <formula>LEN(TRIM(L186))=0</formula>
    </cfRule>
  </conditionalFormatting>
  <conditionalFormatting sqref="E198">
    <cfRule type="expression" dxfId="414" priority="2924" stopIfTrue="1">
      <formula>LEN(TRIM(E198))=0</formula>
    </cfRule>
  </conditionalFormatting>
  <conditionalFormatting sqref="M188:N188 N187">
    <cfRule type="expression" dxfId="413" priority="2962" stopIfTrue="1">
      <formula>LEN(TRIM(M187))=0</formula>
    </cfRule>
  </conditionalFormatting>
  <conditionalFormatting sqref="E193">
    <cfRule type="expression" dxfId="412" priority="2929" stopIfTrue="1">
      <formula>LEN(TRIM(E193))=0</formula>
    </cfRule>
  </conditionalFormatting>
  <conditionalFormatting sqref="L331">
    <cfRule type="expression" dxfId="411" priority="2815" stopIfTrue="1">
      <formula>LEN(TRIM(L331))=0</formula>
    </cfRule>
  </conditionalFormatting>
  <conditionalFormatting sqref="L188">
    <cfRule type="expression" dxfId="410" priority="2971" stopIfTrue="1">
      <formula>LEN(TRIM(L188))=0</formula>
    </cfRule>
  </conditionalFormatting>
  <conditionalFormatting sqref="M184">
    <cfRule type="expression" dxfId="409" priority="2944" stopIfTrue="1">
      <formula>LEN(TRIM(M184))=0</formula>
    </cfRule>
  </conditionalFormatting>
  <conditionalFormatting sqref="M185">
    <cfRule type="expression" dxfId="408" priority="2942" stopIfTrue="1">
      <formula>LEN(TRIM(M185))=0</formula>
    </cfRule>
  </conditionalFormatting>
  <conditionalFormatting sqref="M186">
    <cfRule type="expression" dxfId="407" priority="2941" stopIfTrue="1">
      <formula>LEN(TRIM(M186))=0</formula>
    </cfRule>
  </conditionalFormatting>
  <conditionalFormatting sqref="E184">
    <cfRule type="expression" dxfId="406" priority="2937" stopIfTrue="1">
      <formula>LEN(TRIM(E184))=0</formula>
    </cfRule>
  </conditionalFormatting>
  <conditionalFormatting sqref="E186">
    <cfRule type="expression" dxfId="405" priority="2936" stopIfTrue="1">
      <formula>LEN(TRIM(E186))=0</formula>
    </cfRule>
  </conditionalFormatting>
  <conditionalFormatting sqref="E187">
    <cfRule type="expression" dxfId="404" priority="2935" stopIfTrue="1">
      <formula>LEN(TRIM(E187))=0</formula>
    </cfRule>
  </conditionalFormatting>
  <conditionalFormatting sqref="E188">
    <cfRule type="expression" dxfId="403" priority="2934" stopIfTrue="1">
      <formula>LEN(TRIM(E188))=0</formula>
    </cfRule>
  </conditionalFormatting>
  <conditionalFormatting sqref="E189">
    <cfRule type="expression" dxfId="402" priority="2933" stopIfTrue="1">
      <formula>LEN(TRIM(E189))=0</formula>
    </cfRule>
  </conditionalFormatting>
  <conditionalFormatting sqref="E190">
    <cfRule type="expression" dxfId="401" priority="2932" stopIfTrue="1">
      <formula>LEN(TRIM(E190))=0</formula>
    </cfRule>
  </conditionalFormatting>
  <conditionalFormatting sqref="E191">
    <cfRule type="expression" dxfId="400" priority="2931" stopIfTrue="1">
      <formula>LEN(TRIM(E191))=0</formula>
    </cfRule>
  </conditionalFormatting>
  <conditionalFormatting sqref="E192">
    <cfRule type="expression" dxfId="399" priority="2930" stopIfTrue="1">
      <formula>LEN(TRIM(E192))=0</formula>
    </cfRule>
  </conditionalFormatting>
  <conditionalFormatting sqref="L336">
    <cfRule type="expression" dxfId="398" priority="2854" stopIfTrue="1">
      <formula>LEN(TRIM(L336))=0</formula>
    </cfRule>
  </conditionalFormatting>
  <conditionalFormatting sqref="E194">
    <cfRule type="expression" dxfId="397" priority="2928" stopIfTrue="1">
      <formula>LEN(TRIM(E194))=0</formula>
    </cfRule>
  </conditionalFormatting>
  <conditionalFormatting sqref="E195">
    <cfRule type="expression" dxfId="396" priority="2927" stopIfTrue="1">
      <formula>LEN(TRIM(E195))=0</formula>
    </cfRule>
  </conditionalFormatting>
  <conditionalFormatting sqref="E196">
    <cfRule type="expression" dxfId="395" priority="2926" stopIfTrue="1">
      <formula>LEN(TRIM(E196))=0</formula>
    </cfRule>
  </conditionalFormatting>
  <conditionalFormatting sqref="E197">
    <cfRule type="expression" dxfId="394" priority="2925" stopIfTrue="1">
      <formula>LEN(TRIM(E197))=0</formula>
    </cfRule>
  </conditionalFormatting>
  <conditionalFormatting sqref="E199">
    <cfRule type="expression" dxfId="393" priority="2923" stopIfTrue="1">
      <formula>LEN(TRIM(E199))=0</formula>
    </cfRule>
  </conditionalFormatting>
  <conditionalFormatting sqref="E200:E202">
    <cfRule type="expression" dxfId="392" priority="2922" stopIfTrue="1">
      <formula>LEN(TRIM(E200))=0</formula>
    </cfRule>
  </conditionalFormatting>
  <conditionalFormatting sqref="E203:E204">
    <cfRule type="expression" dxfId="391" priority="2921" stopIfTrue="1">
      <formula>LEN(TRIM(E203))=0</formula>
    </cfRule>
  </conditionalFormatting>
  <conditionalFormatting sqref="E208:E209">
    <cfRule type="expression" dxfId="390" priority="2920" stopIfTrue="1">
      <formula>LEN(TRIM(E208))=0</formula>
    </cfRule>
  </conditionalFormatting>
  <conditionalFormatting sqref="E212:E213">
    <cfRule type="expression" dxfId="389" priority="2919" stopIfTrue="1">
      <formula>LEN(TRIM(E212))=0</formula>
    </cfRule>
  </conditionalFormatting>
  <conditionalFormatting sqref="E218:E221">
    <cfRule type="expression" dxfId="388" priority="2918" stopIfTrue="1">
      <formula>LEN(TRIM(E218))=0</formula>
    </cfRule>
  </conditionalFormatting>
  <conditionalFormatting sqref="E223:E224">
    <cfRule type="expression" dxfId="387" priority="2917" stopIfTrue="1">
      <formula>LEN(TRIM(E223))=0</formula>
    </cfRule>
  </conditionalFormatting>
  <conditionalFormatting sqref="E226:E230">
    <cfRule type="expression" dxfId="386" priority="2916" stopIfTrue="1">
      <formula>LEN(TRIM(E226))=0</formula>
    </cfRule>
  </conditionalFormatting>
  <conditionalFormatting sqref="E231">
    <cfRule type="expression" dxfId="385" priority="2915" stopIfTrue="1">
      <formula>LEN(TRIM(E231))=0</formula>
    </cfRule>
  </conditionalFormatting>
  <conditionalFormatting sqref="E237">
    <cfRule type="expression" dxfId="384" priority="2912" stopIfTrue="1">
      <formula>LEN(TRIM(E237))=0</formula>
    </cfRule>
  </conditionalFormatting>
  <conditionalFormatting sqref="E222">
    <cfRule type="expression" dxfId="383" priority="2911" stopIfTrue="1">
      <formula>LEN(TRIM(E222))=0</formula>
    </cfRule>
  </conditionalFormatting>
  <conditionalFormatting sqref="E217">
    <cfRule type="expression" dxfId="382" priority="2910" stopIfTrue="1">
      <formula>LEN(TRIM(E217))=0</formula>
    </cfRule>
  </conditionalFormatting>
  <conditionalFormatting sqref="E215">
    <cfRule type="expression" dxfId="381" priority="2908" stopIfTrue="1">
      <formula>LEN(TRIM(E215))=0</formula>
    </cfRule>
  </conditionalFormatting>
  <conditionalFormatting sqref="E214">
    <cfRule type="expression" dxfId="380" priority="2907" stopIfTrue="1">
      <formula>LEN(TRIM(E214))=0</formula>
    </cfRule>
  </conditionalFormatting>
  <conditionalFormatting sqref="L310">
    <cfRule type="expression" dxfId="379" priority="2756" stopIfTrue="1">
      <formula>LEN(TRIM(L310))=0</formula>
    </cfRule>
  </conditionalFormatting>
  <conditionalFormatting sqref="E210">
    <cfRule type="expression" dxfId="378" priority="2905" stopIfTrue="1">
      <formula>LEN(TRIM(E210))=0</formula>
    </cfRule>
  </conditionalFormatting>
  <conditionalFormatting sqref="E206">
    <cfRule type="expression" dxfId="377" priority="2904" stopIfTrue="1">
      <formula>LEN(TRIM(E206))=0</formula>
    </cfRule>
  </conditionalFormatting>
  <conditionalFormatting sqref="E205">
    <cfRule type="expression" dxfId="376" priority="2903" stopIfTrue="1">
      <formula>LEN(TRIM(E205))=0</formula>
    </cfRule>
  </conditionalFormatting>
  <conditionalFormatting sqref="L239:L240">
    <cfRule type="cellIs" dxfId="375" priority="2901" stopIfTrue="1" operator="equal">
      <formula>0</formula>
    </cfRule>
  </conditionalFormatting>
  <conditionalFormatting sqref="L351">
    <cfRule type="cellIs" dxfId="374" priority="2900" stopIfTrue="1" operator="equal">
      <formula>0</formula>
    </cfRule>
  </conditionalFormatting>
  <conditionalFormatting sqref="L292:L301">
    <cfRule type="expression" dxfId="373" priority="2749" stopIfTrue="1">
      <formula>LEN(TRIM(L292))=0</formula>
    </cfRule>
  </conditionalFormatting>
  <conditionalFormatting sqref="L346">
    <cfRule type="expression" dxfId="372" priority="2887" stopIfTrue="1">
      <formula>LEN(TRIM(L346))=0</formula>
    </cfRule>
  </conditionalFormatting>
  <conditionalFormatting sqref="L345:M345">
    <cfRule type="expression" dxfId="371" priority="2866" stopIfTrue="1">
      <formula>LEN(TRIM(L345))=0</formula>
    </cfRule>
  </conditionalFormatting>
  <conditionalFormatting sqref="L313">
    <cfRule type="expression" dxfId="370" priority="2779" stopIfTrue="1">
      <formula>LEN(TRIM(L313))=0</formula>
    </cfRule>
  </conditionalFormatting>
  <conditionalFormatting sqref="B325:B332">
    <cfRule type="expression" dxfId="369" priority="2782" stopIfTrue="1">
      <formula>LEN(TRIM(B325))=0</formula>
    </cfRule>
  </conditionalFormatting>
  <conditionalFormatting sqref="M329">
    <cfRule type="expression" dxfId="368" priority="2785" stopIfTrue="1">
      <formula>LEN(TRIM(M329))=0</formula>
    </cfRule>
  </conditionalFormatting>
  <conditionalFormatting sqref="M349">
    <cfRule type="expression" dxfId="367" priority="2881" stopIfTrue="1">
      <formula>LEN(TRIM(M349))=0</formula>
    </cfRule>
  </conditionalFormatting>
  <conditionalFormatting sqref="M347">
    <cfRule type="expression" dxfId="366" priority="2888" stopIfTrue="1">
      <formula>LEN(TRIM(M347))=0</formula>
    </cfRule>
  </conditionalFormatting>
  <conditionalFormatting sqref="L348">
    <cfRule type="expression" dxfId="365" priority="2889" stopIfTrue="1">
      <formula>LEN(TRIM(L348))=0</formula>
    </cfRule>
  </conditionalFormatting>
  <conditionalFormatting sqref="L349">
    <cfRule type="expression" dxfId="364" priority="2890" stopIfTrue="1">
      <formula>LEN(TRIM(L349))=0</formula>
    </cfRule>
  </conditionalFormatting>
  <conditionalFormatting sqref="M346">
    <cfRule type="expression" dxfId="363" priority="2863" stopIfTrue="1">
      <formula>LEN(TRIM(M346))=0</formula>
    </cfRule>
  </conditionalFormatting>
  <conditionalFormatting sqref="L347">
    <cfRule type="expression" dxfId="362" priority="2862" stopIfTrue="1">
      <formula>LEN(TRIM(L347))=0</formula>
    </cfRule>
  </conditionalFormatting>
  <conditionalFormatting sqref="M348">
    <cfRule type="expression" dxfId="361" priority="2859" stopIfTrue="1">
      <formula>LEN(TRIM(M348))=0</formula>
    </cfRule>
  </conditionalFormatting>
  <conditionalFormatting sqref="M350">
    <cfRule type="expression" dxfId="360" priority="2858" stopIfTrue="1">
      <formula>LEN(TRIM(M350))=0</formula>
    </cfRule>
  </conditionalFormatting>
  <conditionalFormatting sqref="B345:B350">
    <cfRule type="expression" dxfId="359" priority="2857" stopIfTrue="1">
      <formula>LEN(TRIM(B345))=0</formula>
    </cfRule>
  </conditionalFormatting>
  <conditionalFormatting sqref="L334">
    <cfRule type="expression" dxfId="358" priority="2841" stopIfTrue="1">
      <formula>LEN(TRIM(L334))=0</formula>
    </cfRule>
  </conditionalFormatting>
  <conditionalFormatting sqref="M313">
    <cfRule type="expression" dxfId="357" priority="2753" stopIfTrue="1">
      <formula>LEN(TRIM(M313))=0</formula>
    </cfRule>
  </conditionalFormatting>
  <conditionalFormatting sqref="L335">
    <cfRule type="expression" dxfId="356" priority="2844" stopIfTrue="1">
      <formula>LEN(TRIM(L335))=0</formula>
    </cfRule>
  </conditionalFormatting>
  <conditionalFormatting sqref="M337">
    <cfRule type="expression" dxfId="355" priority="2847" stopIfTrue="1">
      <formula>LEN(TRIM(M337))=0</formula>
    </cfRule>
  </conditionalFormatting>
  <conditionalFormatting sqref="E289:E290">
    <cfRule type="expression" dxfId="354" priority="2699" stopIfTrue="1">
      <formula>LEN(TRIM(E289))=0</formula>
    </cfRule>
  </conditionalFormatting>
  <conditionalFormatting sqref="M333">
    <cfRule type="expression" dxfId="353" priority="2853" stopIfTrue="1">
      <formula>LEN(TRIM(M333))=0</formula>
    </cfRule>
  </conditionalFormatting>
  <conditionalFormatting sqref="L289">
    <cfRule type="expression" dxfId="352" priority="2704" stopIfTrue="1">
      <formula>LEN(TRIM(L289))=0</formula>
    </cfRule>
  </conditionalFormatting>
  <conditionalFormatting sqref="L337">
    <cfRule type="expression" dxfId="351" priority="2855" stopIfTrue="1">
      <formula>LEN(TRIM(L337))=0</formula>
    </cfRule>
  </conditionalFormatting>
  <conditionalFormatting sqref="L291">
    <cfRule type="expression" dxfId="350" priority="2706" stopIfTrue="1">
      <formula>LEN(TRIM(L291))=0</formula>
    </cfRule>
  </conditionalFormatting>
  <conditionalFormatting sqref="L333">
    <cfRule type="expression" dxfId="349" priority="2831" stopIfTrue="1">
      <formula>LEN(TRIM(L333))=0</formula>
    </cfRule>
  </conditionalFormatting>
  <conditionalFormatting sqref="M334">
    <cfRule type="expression" dxfId="348" priority="2830" stopIfTrue="1">
      <formula>LEN(TRIM(M334))=0</formula>
    </cfRule>
  </conditionalFormatting>
  <conditionalFormatting sqref="M335">
    <cfRule type="expression" dxfId="347" priority="2829" stopIfTrue="1">
      <formula>LEN(TRIM(M335))=0</formula>
    </cfRule>
  </conditionalFormatting>
  <conditionalFormatting sqref="M336">
    <cfRule type="expression" dxfId="346" priority="2828" stopIfTrue="1">
      <formula>LEN(TRIM(M336))=0</formula>
    </cfRule>
  </conditionalFormatting>
  <conditionalFormatting sqref="M338">
    <cfRule type="expression" dxfId="345" priority="2827" stopIfTrue="1">
      <formula>LEN(TRIM(M338))=0</formula>
    </cfRule>
  </conditionalFormatting>
  <conditionalFormatting sqref="B333:B338">
    <cfRule type="expression" dxfId="344" priority="2826" stopIfTrue="1">
      <formula>LEN(TRIM(B333))=0</formula>
    </cfRule>
  </conditionalFormatting>
  <conditionalFormatting sqref="L326">
    <cfRule type="expression" dxfId="343" priority="2812" stopIfTrue="1">
      <formula>LEN(TRIM(L326))=0</formula>
    </cfRule>
  </conditionalFormatting>
  <conditionalFormatting sqref="L325:M325">
    <cfRule type="expression" dxfId="342" priority="2791" stopIfTrue="1">
      <formula>LEN(TRIM(L325))=0</formula>
    </cfRule>
  </conditionalFormatting>
  <conditionalFormatting sqref="M307">
    <cfRule type="expression" dxfId="341" priority="2709" stopIfTrue="1">
      <formula>LEN(TRIM(M307))=0</formula>
    </cfRule>
  </conditionalFormatting>
  <conditionalFormatting sqref="L328">
    <cfRule type="expression" dxfId="340" priority="2800" stopIfTrue="1">
      <formula>LEN(TRIM(L328))=0</formula>
    </cfRule>
  </conditionalFormatting>
  <conditionalFormatting sqref="L304">
    <cfRule type="expression" dxfId="339" priority="2712" stopIfTrue="1">
      <formula>LEN(TRIM(L304))=0</formula>
    </cfRule>
  </conditionalFormatting>
  <conditionalFormatting sqref="L329">
    <cfRule type="expression" dxfId="338" priority="2803" stopIfTrue="1">
      <formula>LEN(TRIM(L329))=0</formula>
    </cfRule>
  </conditionalFormatting>
  <conditionalFormatting sqref="M331">
    <cfRule type="expression" dxfId="337" priority="2806" stopIfTrue="1">
      <formula>LEN(TRIM(M331))=0</formula>
    </cfRule>
  </conditionalFormatting>
  <conditionalFormatting sqref="E285">
    <cfRule type="expression" dxfId="336" priority="2661" stopIfTrue="1">
      <formula>LEN(TRIM(E285))=0</formula>
    </cfRule>
  </conditionalFormatting>
  <conditionalFormatting sqref="M280">
    <cfRule type="expression" dxfId="335" priority="2663" stopIfTrue="1">
      <formula>LEN(TRIM(M280))=0</formula>
    </cfRule>
  </conditionalFormatting>
  <conditionalFormatting sqref="L330">
    <cfRule type="expression" dxfId="334" priority="2814" stopIfTrue="1">
      <formula>LEN(TRIM(L330))=0</formula>
    </cfRule>
  </conditionalFormatting>
  <conditionalFormatting sqref="L284">
    <cfRule type="expression" dxfId="333" priority="2665" stopIfTrue="1">
      <formula>LEN(TRIM(L284))=0</formula>
    </cfRule>
  </conditionalFormatting>
  <conditionalFormatting sqref="L332">
    <cfRule type="expression" dxfId="332" priority="2816" stopIfTrue="1">
      <formula>LEN(TRIM(L332))=0</formula>
    </cfRule>
  </conditionalFormatting>
  <conditionalFormatting sqref="M326">
    <cfRule type="expression" dxfId="331" priority="2788" stopIfTrue="1">
      <formula>LEN(TRIM(M326))=0</formula>
    </cfRule>
  </conditionalFormatting>
  <conditionalFormatting sqref="L327">
    <cfRule type="expression" dxfId="330" priority="2787" stopIfTrue="1">
      <formula>LEN(TRIM(L327))=0</formula>
    </cfRule>
  </conditionalFormatting>
  <conditionalFormatting sqref="M328">
    <cfRule type="expression" dxfId="329" priority="2786" stopIfTrue="1">
      <formula>LEN(TRIM(M328))=0</formula>
    </cfRule>
  </conditionalFormatting>
  <conditionalFormatting sqref="M330">
    <cfRule type="expression" dxfId="328" priority="2784" stopIfTrue="1">
      <formula>LEN(TRIM(M330))=0</formula>
    </cfRule>
  </conditionalFormatting>
  <conditionalFormatting sqref="M332">
    <cfRule type="expression" dxfId="327" priority="2783" stopIfTrue="1">
      <formula>LEN(TRIM(M332))=0</formula>
    </cfRule>
  </conditionalFormatting>
  <conditionalFormatting sqref="L311">
    <cfRule type="expression" dxfId="326" priority="2766" stopIfTrue="1">
      <formula>LEN(TRIM(L311))=0</formula>
    </cfRule>
  </conditionalFormatting>
  <conditionalFormatting sqref="M289">
    <cfRule type="expression" dxfId="325" priority="2678" stopIfTrue="1">
      <formula>LEN(TRIM(M289))=0</formula>
    </cfRule>
  </conditionalFormatting>
  <conditionalFormatting sqref="L312">
    <cfRule type="expression" dxfId="324" priority="2769" stopIfTrue="1">
      <formula>LEN(TRIM(L312))=0</formula>
    </cfRule>
  </conditionalFormatting>
  <conditionalFormatting sqref="M314">
    <cfRule type="expression" dxfId="323" priority="2772" stopIfTrue="1">
      <formula>LEN(TRIM(M314))=0</formula>
    </cfRule>
  </conditionalFormatting>
  <conditionalFormatting sqref="E286">
    <cfRule type="expression" dxfId="322" priority="2687" stopIfTrue="1">
      <formula>LEN(TRIM(E286))=0</formula>
    </cfRule>
  </conditionalFormatting>
  <conditionalFormatting sqref="M310">
    <cfRule type="expression" dxfId="321" priority="2778" stopIfTrue="1">
      <formula>LEN(TRIM(M310))=0</formula>
    </cfRule>
  </conditionalFormatting>
  <conditionalFormatting sqref="L314">
    <cfRule type="expression" dxfId="320" priority="2780" stopIfTrue="1">
      <formula>LEN(TRIM(L314))=0</formula>
    </cfRule>
  </conditionalFormatting>
  <conditionalFormatting sqref="L315">
    <cfRule type="expression" dxfId="319" priority="2781" stopIfTrue="1">
      <formula>LEN(TRIM(L315))=0</formula>
    </cfRule>
  </conditionalFormatting>
  <conditionalFormatting sqref="M309">
    <cfRule type="expression" dxfId="318" priority="2757" stopIfTrue="1">
      <formula>LEN(TRIM(M309))=0</formula>
    </cfRule>
  </conditionalFormatting>
  <conditionalFormatting sqref="L265">
    <cfRule type="expression" dxfId="317" priority="2606" stopIfTrue="1">
      <formula>LEN(TRIM(L265))=0</formula>
    </cfRule>
  </conditionalFormatting>
  <conditionalFormatting sqref="M311">
    <cfRule type="expression" dxfId="316" priority="2755" stopIfTrue="1">
      <formula>LEN(TRIM(M311))=0</formula>
    </cfRule>
  </conditionalFormatting>
  <conditionalFormatting sqref="M312">
    <cfRule type="expression" dxfId="315" priority="2754" stopIfTrue="1">
      <formula>LEN(TRIM(M312))=0</formula>
    </cfRule>
  </conditionalFormatting>
  <conditionalFormatting sqref="M315">
    <cfRule type="expression" dxfId="314" priority="2752" stopIfTrue="1">
      <formula>LEN(TRIM(M315))=0</formula>
    </cfRule>
  </conditionalFormatting>
  <conditionalFormatting sqref="B309:B315">
    <cfRule type="expression" dxfId="313" priority="2751" stopIfTrue="1">
      <formula>LEN(TRIM(B309))=0</formula>
    </cfRule>
  </conditionalFormatting>
  <conditionalFormatting sqref="L263">
    <cfRule type="expression" dxfId="312" priority="2591" stopIfTrue="1">
      <formula>LEN(TRIM(L263))=0</formula>
    </cfRule>
  </conditionalFormatting>
  <conditionalFormatting sqref="L246:L255">
    <cfRule type="expression" dxfId="311" priority="2599" stopIfTrue="1">
      <formula>LEN(TRIM(L246))=0</formula>
    </cfRule>
  </conditionalFormatting>
  <conditionalFormatting sqref="L243">
    <cfRule type="expression" dxfId="310" priority="2554" stopIfTrue="1">
      <formula>LEN(TRIM(L243))=0</formula>
    </cfRule>
  </conditionalFormatting>
  <conditionalFormatting sqref="L309">
    <cfRule type="cellIs" dxfId="309" priority="2750" stopIfTrue="1" operator="equal">
      <formula>0</formula>
    </cfRule>
  </conditionalFormatting>
  <conditionalFormatting sqref="E292:E293">
    <cfRule type="expression" dxfId="308" priority="2748" stopIfTrue="1">
      <formula>LEN(TRIM(E292))=0</formula>
    </cfRule>
  </conditionalFormatting>
  <conditionalFormatting sqref="M292:M301">
    <cfRule type="expression" dxfId="307" priority="2743" stopIfTrue="1">
      <formula>LEN(TRIM(M292))=0</formula>
    </cfRule>
  </conditionalFormatting>
  <conditionalFormatting sqref="L303">
    <cfRule type="expression" dxfId="306" priority="2737" stopIfTrue="1">
      <formula>LEN(TRIM(L303))=0</formula>
    </cfRule>
  </conditionalFormatting>
  <conditionalFormatting sqref="B292:B301">
    <cfRule type="expression" dxfId="305" priority="2742" stopIfTrue="1">
      <formula>LEN(TRIM(B292))=0</formula>
    </cfRule>
  </conditionalFormatting>
  <conditionalFormatting sqref="L302:M302">
    <cfRule type="expression" dxfId="304" priority="2716" stopIfTrue="1">
      <formula>LEN(TRIM(L302))=0</formula>
    </cfRule>
  </conditionalFormatting>
  <conditionalFormatting sqref="M265">
    <cfRule type="expression" dxfId="303" priority="2628" stopIfTrue="1">
      <formula>LEN(TRIM(M265))=0</formula>
    </cfRule>
  </conditionalFormatting>
  <conditionalFormatting sqref="L268">
    <cfRule type="expression" dxfId="302" priority="2631" stopIfTrue="1">
      <formula>LEN(TRIM(L268))=0</formula>
    </cfRule>
  </conditionalFormatting>
  <conditionalFormatting sqref="M283">
    <cfRule type="expression" dxfId="301" priority="2634" stopIfTrue="1">
      <formula>LEN(TRIM(M283))=0</formula>
    </cfRule>
  </conditionalFormatting>
  <conditionalFormatting sqref="L305">
    <cfRule type="expression" dxfId="300" priority="2725" stopIfTrue="1">
      <formula>LEN(TRIM(L305))=0</formula>
    </cfRule>
  </conditionalFormatting>
  <conditionalFormatting sqref="L280">
    <cfRule type="expression" dxfId="299" priority="2637" stopIfTrue="1">
      <formula>LEN(TRIM(L280))=0</formula>
    </cfRule>
  </conditionalFormatting>
  <conditionalFormatting sqref="L306">
    <cfRule type="expression" dxfId="298" priority="2728" stopIfTrue="1">
      <formula>LEN(TRIM(L306))=0</formula>
    </cfRule>
  </conditionalFormatting>
  <conditionalFormatting sqref="M308">
    <cfRule type="expression" dxfId="297" priority="2731" stopIfTrue="1">
      <formula>LEN(TRIM(M308))=0</formula>
    </cfRule>
  </conditionalFormatting>
  <conditionalFormatting sqref="E279">
    <cfRule type="expression" dxfId="296" priority="2646" stopIfTrue="1">
      <formula>LEN(TRIM(E279))=0</formula>
    </cfRule>
  </conditionalFormatting>
  <conditionalFormatting sqref="M304">
    <cfRule type="expression" dxfId="295" priority="2738" stopIfTrue="1">
      <formula>LEN(TRIM(M304))=0</formula>
    </cfRule>
  </conditionalFormatting>
  <conditionalFormatting sqref="L307">
    <cfRule type="expression" dxfId="294" priority="2739" stopIfTrue="1">
      <formula>LEN(TRIM(L307))=0</formula>
    </cfRule>
  </conditionalFormatting>
  <conditionalFormatting sqref="L308">
    <cfRule type="expression" dxfId="293" priority="2740" stopIfTrue="1">
      <formula>LEN(TRIM(L308))=0</formula>
    </cfRule>
  </conditionalFormatting>
  <conditionalFormatting sqref="M303">
    <cfRule type="expression" dxfId="292" priority="2713" stopIfTrue="1">
      <formula>LEN(TRIM(M303))=0</formula>
    </cfRule>
  </conditionalFormatting>
  <conditionalFormatting sqref="M305">
    <cfRule type="expression" dxfId="291" priority="2711" stopIfTrue="1">
      <formula>LEN(TRIM(M305))=0</formula>
    </cfRule>
  </conditionalFormatting>
  <conditionalFormatting sqref="M306">
    <cfRule type="expression" dxfId="290" priority="2710" stopIfTrue="1">
      <formula>LEN(TRIM(M306))=0</formula>
    </cfRule>
  </conditionalFormatting>
  <conditionalFormatting sqref="B302:B308">
    <cfRule type="expression" dxfId="289" priority="2707" stopIfTrue="1">
      <formula>LEN(TRIM(B302))=0</formula>
    </cfRule>
  </conditionalFormatting>
  <conditionalFormatting sqref="L287">
    <cfRule type="expression" dxfId="288" priority="2691" stopIfTrue="1">
      <formula>LEN(TRIM(L287))=0</formula>
    </cfRule>
  </conditionalFormatting>
  <conditionalFormatting sqref="E287">
    <cfRule type="expression" dxfId="287" priority="2693" stopIfTrue="1">
      <formula>LEN(TRIM(E287))=0</formula>
    </cfRule>
  </conditionalFormatting>
  <conditionalFormatting sqref="L288">
    <cfRule type="expression" dxfId="286" priority="2694" stopIfTrue="1">
      <formula>LEN(TRIM(L288))=0</formula>
    </cfRule>
  </conditionalFormatting>
  <conditionalFormatting sqref="E288">
    <cfRule type="expression" dxfId="285" priority="2696" stopIfTrue="1">
      <formula>LEN(TRIM(E288))=0</formula>
    </cfRule>
  </conditionalFormatting>
  <conditionalFormatting sqref="M290">
    <cfRule type="expression" dxfId="284" priority="2697" stopIfTrue="1">
      <formula>LEN(TRIM(M290))=0</formula>
    </cfRule>
  </conditionalFormatting>
  <conditionalFormatting sqref="E291">
    <cfRule type="expression" dxfId="283" priority="2702" stopIfTrue="1">
      <formula>LEN(TRIM(E291))=0</formula>
    </cfRule>
  </conditionalFormatting>
  <conditionalFormatting sqref="L290">
    <cfRule type="expression" dxfId="282" priority="2705" stopIfTrue="1">
      <formula>LEN(TRIM(L290))=0</formula>
    </cfRule>
  </conditionalFormatting>
  <conditionalFormatting sqref="M286">
    <cfRule type="expression" dxfId="281" priority="2682" stopIfTrue="1">
      <formula>LEN(TRIM(M286))=0</formula>
    </cfRule>
  </conditionalFormatting>
  <conditionalFormatting sqref="M287">
    <cfRule type="expression" dxfId="280" priority="2680" stopIfTrue="1">
      <formula>LEN(TRIM(M287))=0</formula>
    </cfRule>
  </conditionalFormatting>
  <conditionalFormatting sqref="M288">
    <cfRule type="expression" dxfId="279" priority="2679" stopIfTrue="1">
      <formula>LEN(TRIM(M288))=0</formula>
    </cfRule>
  </conditionalFormatting>
  <conditionalFormatting sqref="M291">
    <cfRule type="expression" dxfId="278" priority="2677" stopIfTrue="1">
      <formula>LEN(TRIM(M291))=0</formula>
    </cfRule>
  </conditionalFormatting>
  <conditionalFormatting sqref="L286">
    <cfRule type="cellIs" dxfId="277" priority="2675" stopIfTrue="1" operator="equal">
      <formula>0</formula>
    </cfRule>
  </conditionalFormatting>
  <conditionalFormatting sqref="L279">
    <cfRule type="expression" dxfId="276" priority="2662" stopIfTrue="1">
      <formula>LEN(TRIM(L279))=0</formula>
    </cfRule>
  </conditionalFormatting>
  <conditionalFormatting sqref="B269:B277">
    <cfRule type="expression" dxfId="275" priority="2667" stopIfTrue="1">
      <formula>LEN(TRIM(B269))=0</formula>
    </cfRule>
  </conditionalFormatting>
  <conditionalFormatting sqref="L278:M278">
    <cfRule type="expression" dxfId="274" priority="2641" stopIfTrue="1">
      <formula>LEN(TRIM(L278))=0</formula>
    </cfRule>
  </conditionalFormatting>
  <conditionalFormatting sqref="E280">
    <cfRule type="expression" dxfId="273" priority="2649" stopIfTrue="1">
      <formula>LEN(TRIM(E280))=0</formula>
    </cfRule>
  </conditionalFormatting>
  <conditionalFormatting sqref="L281">
    <cfRule type="expression" dxfId="272" priority="2650" stopIfTrue="1">
      <formula>LEN(TRIM(L281))=0</formula>
    </cfRule>
  </conditionalFormatting>
  <conditionalFormatting sqref="E281">
    <cfRule type="expression" dxfId="271" priority="2652" stopIfTrue="1">
      <formula>LEN(TRIM(E281))=0</formula>
    </cfRule>
  </conditionalFormatting>
  <conditionalFormatting sqref="L282">
    <cfRule type="expression" dxfId="270" priority="2653" stopIfTrue="1">
      <formula>LEN(TRIM(L282))=0</formula>
    </cfRule>
  </conditionalFormatting>
  <conditionalFormatting sqref="E282">
    <cfRule type="expression" dxfId="269" priority="2655" stopIfTrue="1">
      <formula>LEN(TRIM(E282))=0</formula>
    </cfRule>
  </conditionalFormatting>
  <conditionalFormatting sqref="M284">
    <cfRule type="expression" dxfId="268" priority="2656" stopIfTrue="1">
      <formula>LEN(TRIM(M284))=0</formula>
    </cfRule>
  </conditionalFormatting>
  <conditionalFormatting sqref="E283:E284">
    <cfRule type="expression" dxfId="267" priority="2658" stopIfTrue="1">
      <formula>LEN(TRIM(E283))=0</formula>
    </cfRule>
  </conditionalFormatting>
  <conditionalFormatting sqref="L283">
    <cfRule type="expression" dxfId="266" priority="2664" stopIfTrue="1">
      <formula>LEN(TRIM(L283))=0</formula>
    </cfRule>
  </conditionalFormatting>
  <conditionalFormatting sqref="L285">
    <cfRule type="expression" dxfId="265" priority="2666" stopIfTrue="1">
      <formula>LEN(TRIM(L285))=0</formula>
    </cfRule>
  </conditionalFormatting>
  <conditionalFormatting sqref="M279">
    <cfRule type="expression" dxfId="264" priority="2638" stopIfTrue="1">
      <formula>LEN(TRIM(M279))=0</formula>
    </cfRule>
  </conditionalFormatting>
  <conditionalFormatting sqref="M281">
    <cfRule type="expression" dxfId="263" priority="2636" stopIfTrue="1">
      <formula>LEN(TRIM(M281))=0</formula>
    </cfRule>
  </conditionalFormatting>
  <conditionalFormatting sqref="M282">
    <cfRule type="expression" dxfId="262" priority="2635" stopIfTrue="1">
      <formula>LEN(TRIM(M282))=0</formula>
    </cfRule>
  </conditionalFormatting>
  <conditionalFormatting sqref="M285">
    <cfRule type="expression" dxfId="261" priority="2633" stopIfTrue="1">
      <formula>LEN(TRIM(M285))=0</formula>
    </cfRule>
  </conditionalFormatting>
  <conditionalFormatting sqref="B278:B285">
    <cfRule type="expression" dxfId="260" priority="2632" stopIfTrue="1">
      <formula>LEN(TRIM(B278))=0</formula>
    </cfRule>
  </conditionalFormatting>
  <conditionalFormatting sqref="L266">
    <cfRule type="expression" dxfId="259" priority="2616" stopIfTrue="1">
      <formula>LEN(TRIM(L266))=0</formula>
    </cfRule>
  </conditionalFormatting>
  <conditionalFormatting sqref="M267">
    <cfRule type="expression" dxfId="258" priority="2622" stopIfTrue="1">
      <formula>LEN(TRIM(M267))=0</formula>
    </cfRule>
  </conditionalFormatting>
  <conditionalFormatting sqref="L267">
    <cfRule type="expression" dxfId="257" priority="2630" stopIfTrue="1">
      <formula>LEN(TRIM(L267))=0</formula>
    </cfRule>
  </conditionalFormatting>
  <conditionalFormatting sqref="M264">
    <cfRule type="expression" dxfId="256" priority="2607" stopIfTrue="1">
      <formula>LEN(TRIM(M264))=0</formula>
    </cfRule>
  </conditionalFormatting>
  <conditionalFormatting sqref="M266">
    <cfRule type="expression" dxfId="255" priority="2605" stopIfTrue="1">
      <formula>LEN(TRIM(M266))=0</formula>
    </cfRule>
  </conditionalFormatting>
  <conditionalFormatting sqref="M268">
    <cfRule type="expression" dxfId="254" priority="2602" stopIfTrue="1">
      <formula>LEN(TRIM(M268))=0</formula>
    </cfRule>
  </conditionalFormatting>
  <conditionalFormatting sqref="B264:B268">
    <cfRule type="expression" dxfId="253" priority="2601" stopIfTrue="1">
      <formula>LEN(TRIM(B264))=0</formula>
    </cfRule>
  </conditionalFormatting>
  <conditionalFormatting sqref="L264">
    <cfRule type="cellIs" dxfId="252" priority="2600" stopIfTrue="1" operator="equal">
      <formula>0</formula>
    </cfRule>
  </conditionalFormatting>
  <conditionalFormatting sqref="M246:M255">
    <cfRule type="expression" dxfId="251" priority="2593" stopIfTrue="1">
      <formula>LEN(TRIM(M246))=0</formula>
    </cfRule>
  </conditionalFormatting>
  <conditionalFormatting sqref="L257">
    <cfRule type="expression" dxfId="250" priority="2587" stopIfTrue="1">
      <formula>LEN(TRIM(L257))=0</formula>
    </cfRule>
  </conditionalFormatting>
  <conditionalFormatting sqref="B246:B255">
    <cfRule type="expression" dxfId="249" priority="2592" stopIfTrue="1">
      <formula>LEN(TRIM(B246))=0</formula>
    </cfRule>
  </conditionalFormatting>
  <conditionalFormatting sqref="L256:M256">
    <cfRule type="expression" dxfId="248" priority="2566" stopIfTrue="1">
      <formula>LEN(TRIM(L256))=0</formula>
    </cfRule>
  </conditionalFormatting>
  <conditionalFormatting sqref="L259">
    <cfRule type="expression" dxfId="247" priority="2575" stopIfTrue="1">
      <formula>LEN(TRIM(L259))=0</formula>
    </cfRule>
  </conditionalFormatting>
  <conditionalFormatting sqref="L260">
    <cfRule type="expression" dxfId="246" priority="2578" stopIfTrue="1">
      <formula>LEN(TRIM(L260))=0</formula>
    </cfRule>
  </conditionalFormatting>
  <conditionalFormatting sqref="M262">
    <cfRule type="expression" dxfId="245" priority="2581" stopIfTrue="1">
      <formula>LEN(TRIM(M262))=0</formula>
    </cfRule>
  </conditionalFormatting>
  <conditionalFormatting sqref="M258">
    <cfRule type="expression" dxfId="244" priority="2588" stopIfTrue="1">
      <formula>LEN(TRIM(M258))=0</formula>
    </cfRule>
  </conditionalFormatting>
  <conditionalFormatting sqref="L261">
    <cfRule type="expression" dxfId="243" priority="2589" stopIfTrue="1">
      <formula>LEN(TRIM(L261))=0</formula>
    </cfRule>
  </conditionalFormatting>
  <conditionalFormatting sqref="L262">
    <cfRule type="expression" dxfId="242" priority="2590" stopIfTrue="1">
      <formula>LEN(TRIM(L262))=0</formula>
    </cfRule>
  </conditionalFormatting>
  <conditionalFormatting sqref="M257">
    <cfRule type="expression" dxfId="241" priority="2563" stopIfTrue="1">
      <formula>LEN(TRIM(M257))=0</formula>
    </cfRule>
  </conditionalFormatting>
  <conditionalFormatting sqref="L258">
    <cfRule type="expression" dxfId="240" priority="2562" stopIfTrue="1">
      <formula>LEN(TRIM(L258))=0</formula>
    </cfRule>
  </conditionalFormatting>
  <conditionalFormatting sqref="M259">
    <cfRule type="expression" dxfId="239" priority="2561" stopIfTrue="1">
      <formula>LEN(TRIM(M259))=0</formula>
    </cfRule>
  </conditionalFormatting>
  <conditionalFormatting sqref="M260">
    <cfRule type="expression" dxfId="238" priority="2560" stopIfTrue="1">
      <formula>LEN(TRIM(M260))=0</formula>
    </cfRule>
  </conditionalFormatting>
  <conditionalFormatting sqref="M261">
    <cfRule type="expression" dxfId="237" priority="2559" stopIfTrue="1">
      <formula>LEN(TRIM(M261))=0</formula>
    </cfRule>
  </conditionalFormatting>
  <conditionalFormatting sqref="M263">
    <cfRule type="expression" dxfId="236" priority="2558" stopIfTrue="1">
      <formula>LEN(TRIM(M263))=0</formula>
    </cfRule>
  </conditionalFormatting>
  <conditionalFormatting sqref="B256:B263">
    <cfRule type="expression" dxfId="235" priority="2557" stopIfTrue="1">
      <formula>LEN(TRIM(B256))=0</formula>
    </cfRule>
  </conditionalFormatting>
  <conditionalFormatting sqref="L242">
    <cfRule type="expression" dxfId="234" priority="2544" stopIfTrue="1">
      <formula>LEN(TRIM(L242))=0</formula>
    </cfRule>
  </conditionalFormatting>
  <conditionalFormatting sqref="M244">
    <cfRule type="expression" dxfId="233" priority="2547" stopIfTrue="1">
      <formula>LEN(TRIM(M244))=0</formula>
    </cfRule>
  </conditionalFormatting>
  <conditionalFormatting sqref="L244">
    <cfRule type="expression" dxfId="232" priority="2555" stopIfTrue="1">
      <formula>LEN(TRIM(L244))=0</formula>
    </cfRule>
  </conditionalFormatting>
  <conditionalFormatting sqref="L245">
    <cfRule type="expression" dxfId="231" priority="2556" stopIfTrue="1">
      <formula>LEN(TRIM(L245))=0</formula>
    </cfRule>
  </conditionalFormatting>
  <conditionalFormatting sqref="M242">
    <cfRule type="expression" dxfId="230" priority="2529" stopIfTrue="1">
      <formula>LEN(TRIM(M242))=0</formula>
    </cfRule>
  </conditionalFormatting>
  <conditionalFormatting sqref="M243">
    <cfRule type="expression" dxfId="229" priority="2528" stopIfTrue="1">
      <formula>LEN(TRIM(M243))=0</formula>
    </cfRule>
  </conditionalFormatting>
  <conditionalFormatting sqref="M245">
    <cfRule type="expression" dxfId="228" priority="2527" stopIfTrue="1">
      <formula>LEN(TRIM(M245))=0</formula>
    </cfRule>
  </conditionalFormatting>
  <conditionalFormatting sqref="E242:E256">
    <cfRule type="expression" dxfId="227" priority="274" stopIfTrue="1">
      <formula>LEN(TRIM(E242))=0</formula>
    </cfRule>
  </conditionalFormatting>
  <conditionalFormatting sqref="K351">
    <cfRule type="expression" dxfId="226" priority="240" stopIfTrue="1">
      <formula>LEN(TRIM(K351))=0</formula>
    </cfRule>
  </conditionalFormatting>
  <conditionalFormatting sqref="K349">
    <cfRule type="expression" dxfId="225" priority="233" stopIfTrue="1">
      <formula>LEN(TRIM(K349))=0</formula>
    </cfRule>
  </conditionalFormatting>
  <conditionalFormatting sqref="K337">
    <cfRule type="expression" dxfId="224" priority="225" stopIfTrue="1">
      <formula>LEN(TRIM(K337))=0</formula>
    </cfRule>
  </conditionalFormatting>
  <conditionalFormatting sqref="K279">
    <cfRule type="expression" dxfId="223" priority="183" stopIfTrue="1">
      <formula>LEN(TRIM(K279))=0</formula>
    </cfRule>
  </conditionalFormatting>
  <conditionalFormatting sqref="K291">
    <cfRule type="expression" dxfId="222" priority="188" stopIfTrue="1">
      <formula>LEN(TRIM(K291))=0</formula>
    </cfRule>
  </conditionalFormatting>
  <conditionalFormatting sqref="K245">
    <cfRule type="expression" dxfId="221" priority="159" stopIfTrue="1">
      <formula>LEN(TRIM(K245))=0</formula>
    </cfRule>
  </conditionalFormatting>
  <conditionalFormatting sqref="E257:E258">
    <cfRule type="expression" dxfId="220" priority="272" stopIfTrue="1">
      <formula>LEN(TRIM(E257))=0</formula>
    </cfRule>
  </conditionalFormatting>
  <conditionalFormatting sqref="E259">
    <cfRule type="expression" dxfId="219" priority="271" stopIfTrue="1">
      <formula>LEN(TRIM(E259))=0</formula>
    </cfRule>
  </conditionalFormatting>
  <conditionalFormatting sqref="E260">
    <cfRule type="expression" dxfId="218" priority="270" stopIfTrue="1">
      <formula>LEN(TRIM(E260))=0</formula>
    </cfRule>
  </conditionalFormatting>
  <conditionalFormatting sqref="E261">
    <cfRule type="expression" dxfId="217" priority="269" stopIfTrue="1">
      <formula>LEN(TRIM(E261))=0</formula>
    </cfRule>
  </conditionalFormatting>
  <conditionalFormatting sqref="E262">
    <cfRule type="expression" dxfId="216" priority="268" stopIfTrue="1">
      <formula>LEN(TRIM(E262))=0</formula>
    </cfRule>
  </conditionalFormatting>
  <conditionalFormatting sqref="E263">
    <cfRule type="expression" dxfId="215" priority="267" stopIfTrue="1">
      <formula>LEN(TRIM(E263))=0</formula>
    </cfRule>
  </conditionalFormatting>
  <conditionalFormatting sqref="E264">
    <cfRule type="expression" dxfId="214" priority="266" stopIfTrue="1">
      <formula>LEN(TRIM(E264))=0</formula>
    </cfRule>
  </conditionalFormatting>
  <conditionalFormatting sqref="E265">
    <cfRule type="expression" dxfId="213" priority="265" stopIfTrue="1">
      <formula>LEN(TRIM(E265))=0</formula>
    </cfRule>
  </conditionalFormatting>
  <conditionalFormatting sqref="E266">
    <cfRule type="expression" dxfId="212" priority="264" stopIfTrue="1">
      <formula>LEN(TRIM(E266))=0</formula>
    </cfRule>
  </conditionalFormatting>
  <conditionalFormatting sqref="E267">
    <cfRule type="expression" dxfId="211" priority="263" stopIfTrue="1">
      <formula>LEN(TRIM(E267))=0</formula>
    </cfRule>
  </conditionalFormatting>
  <conditionalFormatting sqref="E268">
    <cfRule type="expression" dxfId="210" priority="261" stopIfTrue="1">
      <formula>LEN(TRIM(E268))=0</formula>
    </cfRule>
  </conditionalFormatting>
  <conditionalFormatting sqref="E269">
    <cfRule type="expression" dxfId="209" priority="260" stopIfTrue="1">
      <formula>LEN(TRIM(E269))=0</formula>
    </cfRule>
  </conditionalFormatting>
  <conditionalFormatting sqref="E270">
    <cfRule type="expression" dxfId="208" priority="259" stopIfTrue="1">
      <formula>LEN(TRIM(E270))=0</formula>
    </cfRule>
  </conditionalFormatting>
  <conditionalFormatting sqref="E271">
    <cfRule type="expression" dxfId="207" priority="258" stopIfTrue="1">
      <formula>LEN(TRIM(E271))=0</formula>
    </cfRule>
  </conditionalFormatting>
  <conditionalFormatting sqref="E272">
    <cfRule type="expression" dxfId="206" priority="257" stopIfTrue="1">
      <formula>LEN(TRIM(E272))=0</formula>
    </cfRule>
  </conditionalFormatting>
  <conditionalFormatting sqref="E273">
    <cfRule type="expression" dxfId="205" priority="256" stopIfTrue="1">
      <formula>LEN(TRIM(E273))=0</formula>
    </cfRule>
  </conditionalFormatting>
  <conditionalFormatting sqref="E274">
    <cfRule type="expression" dxfId="204" priority="255" stopIfTrue="1">
      <formula>LEN(TRIM(E274))=0</formula>
    </cfRule>
  </conditionalFormatting>
  <conditionalFormatting sqref="E275">
    <cfRule type="expression" dxfId="203" priority="253" stopIfTrue="1">
      <formula>LEN(TRIM(E275))=0</formula>
    </cfRule>
  </conditionalFormatting>
  <conditionalFormatting sqref="E276">
    <cfRule type="expression" dxfId="202" priority="252" stopIfTrue="1">
      <formula>LEN(TRIM(E276))=0</formula>
    </cfRule>
  </conditionalFormatting>
  <conditionalFormatting sqref="E277">
    <cfRule type="expression" dxfId="201" priority="251" stopIfTrue="1">
      <formula>LEN(TRIM(E277))=0</formula>
    </cfRule>
  </conditionalFormatting>
  <conditionalFormatting sqref="E278">
    <cfRule type="expression" dxfId="200" priority="250" stopIfTrue="1">
      <formula>LEN(TRIM(E278))=0</formula>
    </cfRule>
  </conditionalFormatting>
  <conditionalFormatting sqref="E294">
    <cfRule type="expression" dxfId="199" priority="249" stopIfTrue="1">
      <formula>LEN(TRIM(E294))=0</formula>
    </cfRule>
  </conditionalFormatting>
  <conditionalFormatting sqref="E362">
    <cfRule type="expression" dxfId="198" priority="245" stopIfTrue="1">
      <formula>LEN(TRIM(E362))=0</formula>
    </cfRule>
  </conditionalFormatting>
  <conditionalFormatting sqref="K355">
    <cfRule type="expression" dxfId="197" priority="241" stopIfTrue="1">
      <formula>LEN(TRIM(K355))=0</formula>
    </cfRule>
  </conditionalFormatting>
  <conditionalFormatting sqref="K352">
    <cfRule type="expression" dxfId="196" priority="242" stopIfTrue="1">
      <formula>LEN(TRIM(K352))=0</formula>
    </cfRule>
  </conditionalFormatting>
  <conditionalFormatting sqref="K353">
    <cfRule type="expression" dxfId="195" priority="239" stopIfTrue="1">
      <formula>LEN(TRIM(K353))=0</formula>
    </cfRule>
  </conditionalFormatting>
  <conditionalFormatting sqref="K354">
    <cfRule type="expression" dxfId="194" priority="238" stopIfTrue="1">
      <formula>LEN(TRIM(K354))=0</formula>
    </cfRule>
  </conditionalFormatting>
  <conditionalFormatting sqref="K356">
    <cfRule type="expression" dxfId="193" priority="236" stopIfTrue="1">
      <formula>LEN(TRIM(K356))=0</formula>
    </cfRule>
  </conditionalFormatting>
  <conditionalFormatting sqref="K327">
    <cfRule type="expression" dxfId="192" priority="218" stopIfTrue="1">
      <formula>LEN(TRIM(K327))=0</formula>
    </cfRule>
  </conditionalFormatting>
  <conditionalFormatting sqref="K345">
    <cfRule type="expression" dxfId="191" priority="232" stopIfTrue="1">
      <formula>LEN(TRIM(K345))=0</formula>
    </cfRule>
  </conditionalFormatting>
  <conditionalFormatting sqref="K347">
    <cfRule type="expression" dxfId="190" priority="234" stopIfTrue="1">
      <formula>LEN(TRIM(K347))=0</formula>
    </cfRule>
  </conditionalFormatting>
  <conditionalFormatting sqref="K346">
    <cfRule type="expression" dxfId="189" priority="231" stopIfTrue="1">
      <formula>LEN(TRIM(K346))=0</formula>
    </cfRule>
  </conditionalFormatting>
  <conditionalFormatting sqref="K348">
    <cfRule type="expression" dxfId="188" priority="228" stopIfTrue="1">
      <formula>LEN(TRIM(K348))=0</formula>
    </cfRule>
  </conditionalFormatting>
  <conditionalFormatting sqref="K350">
    <cfRule type="expression" dxfId="187" priority="227" stopIfTrue="1">
      <formula>LEN(TRIM(K350))=0</formula>
    </cfRule>
  </conditionalFormatting>
  <conditionalFormatting sqref="K333">
    <cfRule type="expression" dxfId="186" priority="226" stopIfTrue="1">
      <formula>LEN(TRIM(K333))=0</formula>
    </cfRule>
  </conditionalFormatting>
  <conditionalFormatting sqref="K334">
    <cfRule type="expression" dxfId="185" priority="223" stopIfTrue="1">
      <formula>LEN(TRIM(K334))=0</formula>
    </cfRule>
  </conditionalFormatting>
  <conditionalFormatting sqref="K335">
    <cfRule type="expression" dxfId="184" priority="222" stopIfTrue="1">
      <formula>LEN(TRIM(K335))=0</formula>
    </cfRule>
  </conditionalFormatting>
  <conditionalFormatting sqref="K336">
    <cfRule type="expression" dxfId="183" priority="221" stopIfTrue="1">
      <formula>LEN(TRIM(K336))=0</formula>
    </cfRule>
  </conditionalFormatting>
  <conditionalFormatting sqref="K338">
    <cfRule type="expression" dxfId="182" priority="220" stopIfTrue="1">
      <formula>LEN(TRIM(K338))=0</formula>
    </cfRule>
  </conditionalFormatting>
  <conditionalFormatting sqref="K325">
    <cfRule type="expression" dxfId="181" priority="216" stopIfTrue="1">
      <formula>LEN(TRIM(K325))=0</formula>
    </cfRule>
  </conditionalFormatting>
  <conditionalFormatting sqref="K331">
    <cfRule type="expression" dxfId="180" priority="217" stopIfTrue="1">
      <formula>LEN(TRIM(K331))=0</formula>
    </cfRule>
  </conditionalFormatting>
  <conditionalFormatting sqref="K280">
    <cfRule type="expression" dxfId="179" priority="186" stopIfTrue="1">
      <formula>LEN(TRIM(K280))=0</formula>
    </cfRule>
  </conditionalFormatting>
  <conditionalFormatting sqref="K326">
    <cfRule type="expression" dxfId="178" priority="215" stopIfTrue="1">
      <formula>LEN(TRIM(K326))=0</formula>
    </cfRule>
  </conditionalFormatting>
  <conditionalFormatting sqref="K328">
    <cfRule type="expression" dxfId="177" priority="214" stopIfTrue="1">
      <formula>LEN(TRIM(K328))=0</formula>
    </cfRule>
  </conditionalFormatting>
  <conditionalFormatting sqref="K329">
    <cfRule type="expression" dxfId="176" priority="213" stopIfTrue="1">
      <formula>LEN(TRIM(K329))=0</formula>
    </cfRule>
  </conditionalFormatting>
  <conditionalFormatting sqref="K330">
    <cfRule type="expression" dxfId="175" priority="212" stopIfTrue="1">
      <formula>LEN(TRIM(K330))=0</formula>
    </cfRule>
  </conditionalFormatting>
  <conditionalFormatting sqref="K332">
    <cfRule type="expression" dxfId="174" priority="211" stopIfTrue="1">
      <formula>LEN(TRIM(K332))=0</formula>
    </cfRule>
  </conditionalFormatting>
  <conditionalFormatting sqref="K314">
    <cfRule type="expression" dxfId="173" priority="209" stopIfTrue="1">
      <formula>LEN(TRIM(K314))=0</formula>
    </cfRule>
  </conditionalFormatting>
  <conditionalFormatting sqref="K310">
    <cfRule type="expression" dxfId="172" priority="210" stopIfTrue="1">
      <formula>LEN(TRIM(K310))=0</formula>
    </cfRule>
  </conditionalFormatting>
  <conditionalFormatting sqref="K309">
    <cfRule type="expression" dxfId="171" priority="208" stopIfTrue="1">
      <formula>LEN(TRIM(K309))=0</formula>
    </cfRule>
  </conditionalFormatting>
  <conditionalFormatting sqref="K311">
    <cfRule type="expression" dxfId="170" priority="207" stopIfTrue="1">
      <formula>LEN(TRIM(K311))=0</formula>
    </cfRule>
  </conditionalFormatting>
  <conditionalFormatting sqref="K312">
    <cfRule type="expression" dxfId="169" priority="206" stopIfTrue="1">
      <formula>LEN(TRIM(K312))=0</formula>
    </cfRule>
  </conditionalFormatting>
  <conditionalFormatting sqref="K313">
    <cfRule type="expression" dxfId="168" priority="205" stopIfTrue="1">
      <formula>LEN(TRIM(K313))=0</formula>
    </cfRule>
  </conditionalFormatting>
  <conditionalFormatting sqref="K315">
    <cfRule type="expression" dxfId="167" priority="204" stopIfTrue="1">
      <formula>LEN(TRIM(K315))=0</formula>
    </cfRule>
  </conditionalFormatting>
  <conditionalFormatting sqref="K292:K301">
    <cfRule type="expression" dxfId="166" priority="203" stopIfTrue="1">
      <formula>LEN(TRIM(K292))=0</formula>
    </cfRule>
  </conditionalFormatting>
  <conditionalFormatting sqref="K302">
    <cfRule type="expression" dxfId="165" priority="200" stopIfTrue="1">
      <formula>LEN(TRIM(K302))=0</formula>
    </cfRule>
  </conditionalFormatting>
  <conditionalFormatting sqref="K308">
    <cfRule type="expression" dxfId="164" priority="201" stopIfTrue="1">
      <formula>LEN(TRIM(K308))=0</formula>
    </cfRule>
  </conditionalFormatting>
  <conditionalFormatting sqref="K304">
    <cfRule type="expression" dxfId="163" priority="202" stopIfTrue="1">
      <formula>LEN(TRIM(K304))=0</formula>
    </cfRule>
  </conditionalFormatting>
  <conditionalFormatting sqref="K303">
    <cfRule type="expression" dxfId="162" priority="199" stopIfTrue="1">
      <formula>LEN(TRIM(K303))=0</formula>
    </cfRule>
  </conditionalFormatting>
  <conditionalFormatting sqref="K305">
    <cfRule type="expression" dxfId="161" priority="198" stopIfTrue="1">
      <formula>LEN(TRIM(K305))=0</formula>
    </cfRule>
  </conditionalFormatting>
  <conditionalFormatting sqref="K306">
    <cfRule type="expression" dxfId="160" priority="197" stopIfTrue="1">
      <formula>LEN(TRIM(K306))=0</formula>
    </cfRule>
  </conditionalFormatting>
  <conditionalFormatting sqref="K307">
    <cfRule type="expression" dxfId="159" priority="196" stopIfTrue="1">
      <formula>LEN(TRIM(K307))=0</formula>
    </cfRule>
  </conditionalFormatting>
  <conditionalFormatting sqref="K290">
    <cfRule type="expression" dxfId="158" priority="193" stopIfTrue="1">
      <formula>LEN(TRIM(K290))=0</formula>
    </cfRule>
  </conditionalFormatting>
  <conditionalFormatting sqref="K286">
    <cfRule type="expression" dxfId="157" priority="192" stopIfTrue="1">
      <formula>LEN(TRIM(K286))=0</formula>
    </cfRule>
  </conditionalFormatting>
  <conditionalFormatting sqref="K287">
    <cfRule type="expression" dxfId="156" priority="191" stopIfTrue="1">
      <formula>LEN(TRIM(K287))=0</formula>
    </cfRule>
  </conditionalFormatting>
  <conditionalFormatting sqref="K288">
    <cfRule type="expression" dxfId="155" priority="190" stopIfTrue="1">
      <formula>LEN(TRIM(K288))=0</formula>
    </cfRule>
  </conditionalFormatting>
  <conditionalFormatting sqref="K289">
    <cfRule type="expression" dxfId="154" priority="189" stopIfTrue="1">
      <formula>LEN(TRIM(K289))=0</formula>
    </cfRule>
  </conditionalFormatting>
  <conditionalFormatting sqref="K278">
    <cfRule type="expression" dxfId="153" priority="184" stopIfTrue="1">
      <formula>LEN(TRIM(K278))=0</formula>
    </cfRule>
  </conditionalFormatting>
  <conditionalFormatting sqref="K284">
    <cfRule type="expression" dxfId="152" priority="185" stopIfTrue="1">
      <formula>LEN(TRIM(K284))=0</formula>
    </cfRule>
  </conditionalFormatting>
  <conditionalFormatting sqref="K281">
    <cfRule type="expression" dxfId="151" priority="182" stopIfTrue="1">
      <formula>LEN(TRIM(K281))=0</formula>
    </cfRule>
  </conditionalFormatting>
  <conditionalFormatting sqref="K282">
    <cfRule type="expression" dxfId="150" priority="181" stopIfTrue="1">
      <formula>LEN(TRIM(K282))=0</formula>
    </cfRule>
  </conditionalFormatting>
  <conditionalFormatting sqref="K283">
    <cfRule type="expression" dxfId="149" priority="180" stopIfTrue="1">
      <formula>LEN(TRIM(K283))=0</formula>
    </cfRule>
  </conditionalFormatting>
  <conditionalFormatting sqref="K285">
    <cfRule type="expression" dxfId="148" priority="179" stopIfTrue="1">
      <formula>LEN(TRIM(K285))=0</formula>
    </cfRule>
  </conditionalFormatting>
  <conditionalFormatting sqref="K267">
    <cfRule type="expression" dxfId="147" priority="177" stopIfTrue="1">
      <formula>LEN(TRIM(K267))=0</formula>
    </cfRule>
  </conditionalFormatting>
  <conditionalFormatting sqref="K265">
    <cfRule type="expression" dxfId="146" priority="178" stopIfTrue="1">
      <formula>LEN(TRIM(K265))=0</formula>
    </cfRule>
  </conditionalFormatting>
  <conditionalFormatting sqref="K264">
    <cfRule type="expression" dxfId="145" priority="176" stopIfTrue="1">
      <formula>LEN(TRIM(K264))=0</formula>
    </cfRule>
  </conditionalFormatting>
  <conditionalFormatting sqref="K266">
    <cfRule type="expression" dxfId="144" priority="175" stopIfTrue="1">
      <formula>LEN(TRIM(K266))=0</formula>
    </cfRule>
  </conditionalFormatting>
  <conditionalFormatting sqref="K268">
    <cfRule type="expression" dxfId="143" priority="172" stopIfTrue="1">
      <formula>LEN(TRIM(K268))=0</formula>
    </cfRule>
  </conditionalFormatting>
  <conditionalFormatting sqref="K246:K255">
    <cfRule type="expression" dxfId="142" priority="171" stopIfTrue="1">
      <formula>LEN(TRIM(K246))=0</formula>
    </cfRule>
  </conditionalFormatting>
  <conditionalFormatting sqref="K256">
    <cfRule type="expression" dxfId="141" priority="168" stopIfTrue="1">
      <formula>LEN(TRIM(K256))=0</formula>
    </cfRule>
  </conditionalFormatting>
  <conditionalFormatting sqref="K262">
    <cfRule type="expression" dxfId="140" priority="169" stopIfTrue="1">
      <formula>LEN(TRIM(K262))=0</formula>
    </cfRule>
  </conditionalFormatting>
  <conditionalFormatting sqref="K258">
    <cfRule type="expression" dxfId="139" priority="170" stopIfTrue="1">
      <formula>LEN(TRIM(K258))=0</formula>
    </cfRule>
  </conditionalFormatting>
  <conditionalFormatting sqref="K257">
    <cfRule type="expression" dxfId="138" priority="167" stopIfTrue="1">
      <formula>LEN(TRIM(K257))=0</formula>
    </cfRule>
  </conditionalFormatting>
  <conditionalFormatting sqref="K259">
    <cfRule type="expression" dxfId="137" priority="166" stopIfTrue="1">
      <formula>LEN(TRIM(K259))=0</formula>
    </cfRule>
  </conditionalFormatting>
  <conditionalFormatting sqref="K260">
    <cfRule type="expression" dxfId="136" priority="165" stopIfTrue="1">
      <formula>LEN(TRIM(K260))=0</formula>
    </cfRule>
  </conditionalFormatting>
  <conditionalFormatting sqref="K261">
    <cfRule type="expression" dxfId="135" priority="164" stopIfTrue="1">
      <formula>LEN(TRIM(K261))=0</formula>
    </cfRule>
  </conditionalFormatting>
  <conditionalFormatting sqref="K263">
    <cfRule type="expression" dxfId="134" priority="163" stopIfTrue="1">
      <formula>LEN(TRIM(K263))=0</formula>
    </cfRule>
  </conditionalFormatting>
  <conditionalFormatting sqref="K244">
    <cfRule type="expression" dxfId="133" priority="162" stopIfTrue="1">
      <formula>LEN(TRIM(K244))=0</formula>
    </cfRule>
  </conditionalFormatting>
  <conditionalFormatting sqref="K242">
    <cfRule type="expression" dxfId="132" priority="161" stopIfTrue="1">
      <formula>LEN(TRIM(K242))=0</formula>
    </cfRule>
  </conditionalFormatting>
  <conditionalFormatting sqref="K243">
    <cfRule type="expression" dxfId="131" priority="160" stopIfTrue="1">
      <formula>LEN(TRIM(K243))=0</formula>
    </cfRule>
  </conditionalFormatting>
  <conditionalFormatting sqref="A247:A248">
    <cfRule type="expression" dxfId="130" priority="158" stopIfTrue="1">
      <formula>LEN(TRIM(A247))=0</formula>
    </cfRule>
  </conditionalFormatting>
  <conditionalFormatting sqref="A250:A251">
    <cfRule type="expression" dxfId="129" priority="157" stopIfTrue="1">
      <formula>LEN(TRIM(A250))=0</formula>
    </cfRule>
  </conditionalFormatting>
  <conditionalFormatting sqref="A253:A254">
    <cfRule type="expression" dxfId="128" priority="156" stopIfTrue="1">
      <formula>LEN(TRIM(A253))=0</formula>
    </cfRule>
  </conditionalFormatting>
  <conditionalFormatting sqref="A257:A258">
    <cfRule type="expression" dxfId="127" priority="155" stopIfTrue="1">
      <formula>LEN(TRIM(A257))=0</formula>
    </cfRule>
  </conditionalFormatting>
  <conditionalFormatting sqref="A265">
    <cfRule type="expression" dxfId="126" priority="154" stopIfTrue="1">
      <formula>LEN(TRIM(A265))=0</formula>
    </cfRule>
  </conditionalFormatting>
  <conditionalFormatting sqref="A266">
    <cfRule type="expression" dxfId="125" priority="153" stopIfTrue="1">
      <formula>LEN(TRIM(A266))=0</formula>
    </cfRule>
  </conditionalFormatting>
  <conditionalFormatting sqref="A278">
    <cfRule type="expression" dxfId="124" priority="152" stopIfTrue="1">
      <formula>LEN(TRIM(A278))=0</formula>
    </cfRule>
  </conditionalFormatting>
  <conditionalFormatting sqref="A279">
    <cfRule type="expression" dxfId="123" priority="151" stopIfTrue="1">
      <formula>LEN(TRIM(A279))=0</formula>
    </cfRule>
  </conditionalFormatting>
  <conditionalFormatting sqref="A297">
    <cfRule type="expression" dxfId="122" priority="150" stopIfTrue="1">
      <formula>LEN(TRIM(A297))=0</formula>
    </cfRule>
  </conditionalFormatting>
  <conditionalFormatting sqref="A323">
    <cfRule type="expression" dxfId="121" priority="149" stopIfTrue="1">
      <formula>LEN(TRIM(A323))=0</formula>
    </cfRule>
  </conditionalFormatting>
  <conditionalFormatting sqref="A331">
    <cfRule type="expression" dxfId="120" priority="148" stopIfTrue="1">
      <formula>LEN(TRIM(A331))=0</formula>
    </cfRule>
  </conditionalFormatting>
  <conditionalFormatting sqref="A333">
    <cfRule type="expression" dxfId="119" priority="147" stopIfTrue="1">
      <formula>LEN(TRIM(A333))=0</formula>
    </cfRule>
  </conditionalFormatting>
  <conditionalFormatting sqref="A334">
    <cfRule type="expression" dxfId="118" priority="146" stopIfTrue="1">
      <formula>LEN(TRIM(A334))=0</formula>
    </cfRule>
  </conditionalFormatting>
  <conditionalFormatting sqref="A335">
    <cfRule type="expression" dxfId="117" priority="145" stopIfTrue="1">
      <formula>LEN(TRIM(A335))=0</formula>
    </cfRule>
  </conditionalFormatting>
  <conditionalFormatting sqref="A336">
    <cfRule type="expression" dxfId="116" priority="144" stopIfTrue="1">
      <formula>LEN(TRIM(A336))=0</formula>
    </cfRule>
  </conditionalFormatting>
  <conditionalFormatting sqref="A338">
    <cfRule type="expression" dxfId="115" priority="143" stopIfTrue="1">
      <formula>LEN(TRIM(A338))=0</formula>
    </cfRule>
  </conditionalFormatting>
  <conditionalFormatting sqref="A337">
    <cfRule type="expression" dxfId="114" priority="142" stopIfTrue="1">
      <formula>LEN(TRIM(A337))=0</formula>
    </cfRule>
  </conditionalFormatting>
  <conditionalFormatting sqref="A349">
    <cfRule type="expression" dxfId="113" priority="141" stopIfTrue="1">
      <formula>LEN(TRIM(A349))=0</formula>
    </cfRule>
  </conditionalFormatting>
  <conditionalFormatting sqref="A350">
    <cfRule type="expression" dxfId="112" priority="140" stopIfTrue="1">
      <formula>LEN(TRIM(A350))=0</formula>
    </cfRule>
  </conditionalFormatting>
  <conditionalFormatting sqref="A359">
    <cfRule type="expression" dxfId="111" priority="139" stopIfTrue="1">
      <formula>LEN(TRIM(A359))=0</formula>
    </cfRule>
  </conditionalFormatting>
  <conditionalFormatting sqref="A360">
    <cfRule type="expression" dxfId="110" priority="138" stopIfTrue="1">
      <formula>LEN(TRIM(A360))=0</formula>
    </cfRule>
  </conditionalFormatting>
  <conditionalFormatting sqref="A358">
    <cfRule type="expression" dxfId="109" priority="137" stopIfTrue="1">
      <formula>LEN(TRIM(A358))=0</formula>
    </cfRule>
  </conditionalFormatting>
  <conditionalFormatting sqref="A246">
    <cfRule type="expression" dxfId="108" priority="125" stopIfTrue="1">
      <formula>LEN(TRIM(A246))=0</formula>
    </cfRule>
  </conditionalFormatting>
  <conditionalFormatting sqref="A249">
    <cfRule type="expression" dxfId="107" priority="124" stopIfTrue="1">
      <formula>LEN(TRIM(A249))=0</formula>
    </cfRule>
  </conditionalFormatting>
  <conditionalFormatting sqref="A252">
    <cfRule type="expression" dxfId="106" priority="123" stopIfTrue="1">
      <formula>LEN(TRIM(A252))=0</formula>
    </cfRule>
  </conditionalFormatting>
  <conditionalFormatting sqref="A255">
    <cfRule type="expression" dxfId="105" priority="122" stopIfTrue="1">
      <formula>LEN(TRIM(A255))=0</formula>
    </cfRule>
  </conditionalFormatting>
  <conditionalFormatting sqref="A256">
    <cfRule type="expression" dxfId="104" priority="121" stopIfTrue="1">
      <formula>LEN(TRIM(A256))=0</formula>
    </cfRule>
  </conditionalFormatting>
  <conditionalFormatting sqref="A259">
    <cfRule type="expression" dxfId="103" priority="120" stopIfTrue="1">
      <formula>LEN(TRIM(A259))=0</formula>
    </cfRule>
  </conditionalFormatting>
  <conditionalFormatting sqref="A260">
    <cfRule type="expression" dxfId="102" priority="119" stopIfTrue="1">
      <formula>LEN(TRIM(A260))=0</formula>
    </cfRule>
  </conditionalFormatting>
  <conditionalFormatting sqref="A261">
    <cfRule type="expression" dxfId="101" priority="118" stopIfTrue="1">
      <formula>LEN(TRIM(A261))=0</formula>
    </cfRule>
  </conditionalFormatting>
  <conditionalFormatting sqref="A262">
    <cfRule type="expression" dxfId="100" priority="117" stopIfTrue="1">
      <formula>LEN(TRIM(A262))=0</formula>
    </cfRule>
  </conditionalFormatting>
  <conditionalFormatting sqref="A263">
    <cfRule type="expression" dxfId="99" priority="116" stopIfTrue="1">
      <formula>LEN(TRIM(A263))=0</formula>
    </cfRule>
  </conditionalFormatting>
  <conditionalFormatting sqref="A264">
    <cfRule type="expression" dxfId="98" priority="115" stopIfTrue="1">
      <formula>LEN(TRIM(A264))=0</formula>
    </cfRule>
  </conditionalFormatting>
  <conditionalFormatting sqref="A267">
    <cfRule type="expression" dxfId="97" priority="114" stopIfTrue="1">
      <formula>LEN(TRIM(A267))=0</formula>
    </cfRule>
  </conditionalFormatting>
  <conditionalFormatting sqref="A268">
    <cfRule type="expression" dxfId="96" priority="113" stopIfTrue="1">
      <formula>LEN(TRIM(A268))=0</formula>
    </cfRule>
  </conditionalFormatting>
  <conditionalFormatting sqref="A269">
    <cfRule type="expression" dxfId="95" priority="112" stopIfTrue="1">
      <formula>LEN(TRIM(A269))=0</formula>
    </cfRule>
  </conditionalFormatting>
  <conditionalFormatting sqref="A270">
    <cfRule type="expression" dxfId="94" priority="111" stopIfTrue="1">
      <formula>LEN(TRIM(A270))=0</formula>
    </cfRule>
  </conditionalFormatting>
  <conditionalFormatting sqref="A271">
    <cfRule type="expression" dxfId="93" priority="110" stopIfTrue="1">
      <formula>LEN(TRIM(A271))=0</formula>
    </cfRule>
  </conditionalFormatting>
  <conditionalFormatting sqref="A272">
    <cfRule type="expression" dxfId="92" priority="109" stopIfTrue="1">
      <formula>LEN(TRIM(A272))=0</formula>
    </cfRule>
  </conditionalFormatting>
  <conditionalFormatting sqref="A273">
    <cfRule type="expression" dxfId="91" priority="108" stopIfTrue="1">
      <formula>LEN(TRIM(A273))=0</formula>
    </cfRule>
  </conditionalFormatting>
  <conditionalFormatting sqref="A274">
    <cfRule type="expression" dxfId="90" priority="107" stopIfTrue="1">
      <formula>LEN(TRIM(A274))=0</formula>
    </cfRule>
  </conditionalFormatting>
  <conditionalFormatting sqref="A275">
    <cfRule type="expression" dxfId="89" priority="106" stopIfTrue="1">
      <formula>LEN(TRIM(A275))=0</formula>
    </cfRule>
  </conditionalFormatting>
  <conditionalFormatting sqref="A277">
    <cfRule type="expression" dxfId="88" priority="105" stopIfTrue="1">
      <formula>LEN(TRIM(A277))=0</formula>
    </cfRule>
  </conditionalFormatting>
  <conditionalFormatting sqref="A276">
    <cfRule type="expression" dxfId="87" priority="104" stopIfTrue="1">
      <formula>LEN(TRIM(A276))=0</formula>
    </cfRule>
  </conditionalFormatting>
  <conditionalFormatting sqref="A280">
    <cfRule type="expression" dxfId="86" priority="103" stopIfTrue="1">
      <formula>LEN(TRIM(A280))=0</formula>
    </cfRule>
  </conditionalFormatting>
  <conditionalFormatting sqref="A281">
    <cfRule type="expression" dxfId="85" priority="102" stopIfTrue="1">
      <formula>LEN(TRIM(A281))=0</formula>
    </cfRule>
  </conditionalFormatting>
  <conditionalFormatting sqref="A282">
    <cfRule type="expression" dxfId="84" priority="101" stopIfTrue="1">
      <formula>LEN(TRIM(A282))=0</formula>
    </cfRule>
  </conditionalFormatting>
  <conditionalFormatting sqref="A294">
    <cfRule type="expression" dxfId="83" priority="99" stopIfTrue="1">
      <formula>LEN(TRIM(A294))=0</formula>
    </cfRule>
  </conditionalFormatting>
  <conditionalFormatting sqref="A295">
    <cfRule type="expression" dxfId="82" priority="98" stopIfTrue="1">
      <formula>LEN(TRIM(A295))=0</formula>
    </cfRule>
  </conditionalFormatting>
  <conditionalFormatting sqref="A296">
    <cfRule type="expression" dxfId="81" priority="97" stopIfTrue="1">
      <formula>LEN(TRIM(A296))=0</formula>
    </cfRule>
  </conditionalFormatting>
  <conditionalFormatting sqref="A298:A308">
    <cfRule type="expression" dxfId="80" priority="96" stopIfTrue="1">
      <formula>LEN(TRIM(A298))=0</formula>
    </cfRule>
  </conditionalFormatting>
  <conditionalFormatting sqref="A309:A314 A317:A318">
    <cfRule type="expression" dxfId="79" priority="95" stopIfTrue="1">
      <formula>LEN(TRIM(A309))=0</formula>
    </cfRule>
  </conditionalFormatting>
  <conditionalFormatting sqref="A319">
    <cfRule type="expression" dxfId="78" priority="94" stopIfTrue="1">
      <formula>LEN(TRIM(A319))=0</formula>
    </cfRule>
  </conditionalFormatting>
  <conditionalFormatting sqref="A316">
    <cfRule type="expression" dxfId="77" priority="93" stopIfTrue="1">
      <formula>LEN(TRIM(A316))=0</formula>
    </cfRule>
  </conditionalFormatting>
  <conditionalFormatting sqref="A315">
    <cfRule type="expression" dxfId="76" priority="92" stopIfTrue="1">
      <formula>LEN(TRIM(A315))=0</formula>
    </cfRule>
  </conditionalFormatting>
  <conditionalFormatting sqref="A324">
    <cfRule type="expression" dxfId="75" priority="91" stopIfTrue="1">
      <formula>LEN(TRIM(A324))=0</formula>
    </cfRule>
  </conditionalFormatting>
  <conditionalFormatting sqref="A325:A329">
    <cfRule type="expression" dxfId="74" priority="90" stopIfTrue="1">
      <formula>LEN(TRIM(A325))=0</formula>
    </cfRule>
  </conditionalFormatting>
  <conditionalFormatting sqref="A330">
    <cfRule type="expression" dxfId="73" priority="89" stopIfTrue="1">
      <formula>LEN(TRIM(A330))=0</formula>
    </cfRule>
  </conditionalFormatting>
  <conditionalFormatting sqref="A332">
    <cfRule type="expression" dxfId="72" priority="88" stopIfTrue="1">
      <formula>LEN(TRIM(A332))=0</formula>
    </cfRule>
  </conditionalFormatting>
  <conditionalFormatting sqref="A348">
    <cfRule type="expression" dxfId="71" priority="86" stopIfTrue="1">
      <formula>LEN(TRIM(A348))=0</formula>
    </cfRule>
  </conditionalFormatting>
  <conditionalFormatting sqref="A351:A354">
    <cfRule type="expression" dxfId="70" priority="85" stopIfTrue="1">
      <formula>LEN(TRIM(A351))=0</formula>
    </cfRule>
  </conditionalFormatting>
  <conditionalFormatting sqref="A357">
    <cfRule type="expression" dxfId="69" priority="84" stopIfTrue="1">
      <formula>LEN(TRIM(A357))=0</formula>
    </cfRule>
  </conditionalFormatting>
  <conditionalFormatting sqref="A361">
    <cfRule type="expression" dxfId="68" priority="83" stopIfTrue="1">
      <formula>LEN(TRIM(A361))=0</formula>
    </cfRule>
  </conditionalFormatting>
  <conditionalFormatting sqref="A362">
    <cfRule type="expression" dxfId="67" priority="81" stopIfTrue="1">
      <formula>LEN(TRIM(A362))=0</formula>
    </cfRule>
  </conditionalFormatting>
  <conditionalFormatting sqref="C247:C248">
    <cfRule type="expression" dxfId="66" priority="71" stopIfTrue="1">
      <formula>LEN(TRIM(C247))=0</formula>
    </cfRule>
  </conditionalFormatting>
  <conditionalFormatting sqref="C250:C251">
    <cfRule type="expression" dxfId="65" priority="70" stopIfTrue="1">
      <formula>LEN(TRIM(C250))=0</formula>
    </cfRule>
  </conditionalFormatting>
  <conditionalFormatting sqref="C253:C254">
    <cfRule type="expression" dxfId="64" priority="69" stopIfTrue="1">
      <formula>LEN(TRIM(C253))=0</formula>
    </cfRule>
  </conditionalFormatting>
  <conditionalFormatting sqref="C257:C258">
    <cfRule type="expression" dxfId="63" priority="68" stopIfTrue="1">
      <formula>LEN(TRIM(C257))=0</formula>
    </cfRule>
  </conditionalFormatting>
  <conditionalFormatting sqref="C265">
    <cfRule type="expression" dxfId="62" priority="67" stopIfTrue="1">
      <formula>LEN(TRIM(C265))=0</formula>
    </cfRule>
  </conditionalFormatting>
  <conditionalFormatting sqref="C266">
    <cfRule type="expression" dxfId="61" priority="66" stopIfTrue="1">
      <formula>LEN(TRIM(C266))=0</formula>
    </cfRule>
  </conditionalFormatting>
  <conditionalFormatting sqref="C278">
    <cfRule type="expression" dxfId="60" priority="65" stopIfTrue="1">
      <formula>LEN(TRIM(C278))=0</formula>
    </cfRule>
  </conditionalFormatting>
  <conditionalFormatting sqref="C279">
    <cfRule type="expression" dxfId="59" priority="64" stopIfTrue="1">
      <formula>LEN(TRIM(C279))=0</formula>
    </cfRule>
  </conditionalFormatting>
  <conditionalFormatting sqref="C297">
    <cfRule type="expression" dxfId="58" priority="63" stopIfTrue="1">
      <formula>LEN(TRIM(C297))=0</formula>
    </cfRule>
  </conditionalFormatting>
  <conditionalFormatting sqref="C323">
    <cfRule type="expression" dxfId="57" priority="62" stopIfTrue="1">
      <formula>LEN(TRIM(C323))=0</formula>
    </cfRule>
  </conditionalFormatting>
  <conditionalFormatting sqref="C331">
    <cfRule type="expression" dxfId="56" priority="61" stopIfTrue="1">
      <formula>LEN(TRIM(C331))=0</formula>
    </cfRule>
  </conditionalFormatting>
  <conditionalFormatting sqref="C333">
    <cfRule type="expression" dxfId="55" priority="60" stopIfTrue="1">
      <formula>LEN(TRIM(C333))=0</formula>
    </cfRule>
  </conditionalFormatting>
  <conditionalFormatting sqref="C334">
    <cfRule type="expression" dxfId="54" priority="59" stopIfTrue="1">
      <formula>LEN(TRIM(C334))=0</formula>
    </cfRule>
  </conditionalFormatting>
  <conditionalFormatting sqref="C335">
    <cfRule type="expression" dxfId="53" priority="58" stopIfTrue="1">
      <formula>LEN(TRIM(C335))=0</formula>
    </cfRule>
  </conditionalFormatting>
  <conditionalFormatting sqref="C336">
    <cfRule type="expression" dxfId="52" priority="57" stopIfTrue="1">
      <formula>LEN(TRIM(C336))=0</formula>
    </cfRule>
  </conditionalFormatting>
  <conditionalFormatting sqref="C338">
    <cfRule type="expression" dxfId="51" priority="56" stopIfTrue="1">
      <formula>LEN(TRIM(C338))=0</formula>
    </cfRule>
  </conditionalFormatting>
  <conditionalFormatting sqref="C337">
    <cfRule type="expression" dxfId="50" priority="55" stopIfTrue="1">
      <formula>LEN(TRIM(C337))=0</formula>
    </cfRule>
  </conditionalFormatting>
  <conditionalFormatting sqref="C349">
    <cfRule type="expression" dxfId="49" priority="54" stopIfTrue="1">
      <formula>LEN(TRIM(C349))=0</formula>
    </cfRule>
  </conditionalFormatting>
  <conditionalFormatting sqref="C350">
    <cfRule type="expression" dxfId="48" priority="53" stopIfTrue="1">
      <formula>LEN(TRIM(C350))=0</formula>
    </cfRule>
  </conditionalFormatting>
  <conditionalFormatting sqref="C359">
    <cfRule type="expression" dxfId="47" priority="52" stopIfTrue="1">
      <formula>LEN(TRIM(C359))=0</formula>
    </cfRule>
  </conditionalFormatting>
  <conditionalFormatting sqref="C360">
    <cfRule type="expression" dxfId="46" priority="51" stopIfTrue="1">
      <formula>LEN(TRIM(C360))=0</formula>
    </cfRule>
  </conditionalFormatting>
  <conditionalFormatting sqref="C358">
    <cfRule type="expression" dxfId="45" priority="50" stopIfTrue="1">
      <formula>LEN(TRIM(C358))=0</formula>
    </cfRule>
  </conditionalFormatting>
  <conditionalFormatting sqref="C246">
    <cfRule type="expression" dxfId="44" priority="49" stopIfTrue="1">
      <formula>LEN(TRIM(C246))=0</formula>
    </cfRule>
  </conditionalFormatting>
  <conditionalFormatting sqref="C249">
    <cfRule type="expression" dxfId="43" priority="48" stopIfTrue="1">
      <formula>LEN(TRIM(C249))=0</formula>
    </cfRule>
  </conditionalFormatting>
  <conditionalFormatting sqref="C252">
    <cfRule type="expression" dxfId="42" priority="47" stopIfTrue="1">
      <formula>LEN(TRIM(C252))=0</formula>
    </cfRule>
  </conditionalFormatting>
  <conditionalFormatting sqref="C255">
    <cfRule type="expression" dxfId="41" priority="46" stopIfTrue="1">
      <formula>LEN(TRIM(C255))=0</formula>
    </cfRule>
  </conditionalFormatting>
  <conditionalFormatting sqref="C256">
    <cfRule type="expression" dxfId="40" priority="45" stopIfTrue="1">
      <formula>LEN(TRIM(C256))=0</formula>
    </cfRule>
  </conditionalFormatting>
  <conditionalFormatting sqref="C259">
    <cfRule type="expression" dxfId="39" priority="44" stopIfTrue="1">
      <formula>LEN(TRIM(C259))=0</formula>
    </cfRule>
  </conditionalFormatting>
  <conditionalFormatting sqref="C260">
    <cfRule type="expression" dxfId="38" priority="43" stopIfTrue="1">
      <formula>LEN(TRIM(C260))=0</formula>
    </cfRule>
  </conditionalFormatting>
  <conditionalFormatting sqref="C261">
    <cfRule type="expression" dxfId="37" priority="42" stopIfTrue="1">
      <formula>LEN(TRIM(C261))=0</formula>
    </cfRule>
  </conditionalFormatting>
  <conditionalFormatting sqref="C262">
    <cfRule type="expression" dxfId="36" priority="41" stopIfTrue="1">
      <formula>LEN(TRIM(C262))=0</formula>
    </cfRule>
  </conditionalFormatting>
  <conditionalFormatting sqref="C263">
    <cfRule type="expression" dxfId="35" priority="40" stopIfTrue="1">
      <formula>LEN(TRIM(C263))=0</formula>
    </cfRule>
  </conditionalFormatting>
  <conditionalFormatting sqref="C264">
    <cfRule type="expression" dxfId="34" priority="39" stopIfTrue="1">
      <formula>LEN(TRIM(C264))=0</formula>
    </cfRule>
  </conditionalFormatting>
  <conditionalFormatting sqref="C267">
    <cfRule type="expression" dxfId="33" priority="38" stopIfTrue="1">
      <formula>LEN(TRIM(C267))=0</formula>
    </cfRule>
  </conditionalFormatting>
  <conditionalFormatting sqref="C268">
    <cfRule type="expression" dxfId="32" priority="37" stopIfTrue="1">
      <formula>LEN(TRIM(C268))=0</formula>
    </cfRule>
  </conditionalFormatting>
  <conditionalFormatting sqref="C269">
    <cfRule type="expression" dxfId="31" priority="36" stopIfTrue="1">
      <formula>LEN(TRIM(C269))=0</formula>
    </cfRule>
  </conditionalFormatting>
  <conditionalFormatting sqref="C270">
    <cfRule type="expression" dxfId="30" priority="35" stopIfTrue="1">
      <formula>LEN(TRIM(C270))=0</formula>
    </cfRule>
  </conditionalFormatting>
  <conditionalFormatting sqref="C271">
    <cfRule type="expression" dxfId="29" priority="34" stopIfTrue="1">
      <formula>LEN(TRIM(C271))=0</formula>
    </cfRule>
  </conditionalFormatting>
  <conditionalFormatting sqref="C272">
    <cfRule type="expression" dxfId="28" priority="33" stopIfTrue="1">
      <formula>LEN(TRIM(C272))=0</formula>
    </cfRule>
  </conditionalFormatting>
  <conditionalFormatting sqref="C273">
    <cfRule type="expression" dxfId="27" priority="32" stopIfTrue="1">
      <formula>LEN(TRIM(C273))=0</formula>
    </cfRule>
  </conditionalFormatting>
  <conditionalFormatting sqref="C274">
    <cfRule type="expression" dxfId="26" priority="31" stopIfTrue="1">
      <formula>LEN(TRIM(C274))=0</formula>
    </cfRule>
  </conditionalFormatting>
  <conditionalFormatting sqref="C275">
    <cfRule type="expression" dxfId="25" priority="30" stopIfTrue="1">
      <formula>LEN(TRIM(C275))=0</formula>
    </cfRule>
  </conditionalFormatting>
  <conditionalFormatting sqref="C277">
    <cfRule type="expression" dxfId="24" priority="29" stopIfTrue="1">
      <formula>LEN(TRIM(C277))=0</formula>
    </cfRule>
  </conditionalFormatting>
  <conditionalFormatting sqref="C276">
    <cfRule type="expression" dxfId="23" priority="28" stopIfTrue="1">
      <formula>LEN(TRIM(C276))=0</formula>
    </cfRule>
  </conditionalFormatting>
  <conditionalFormatting sqref="C280">
    <cfRule type="expression" dxfId="22" priority="27" stopIfTrue="1">
      <formula>LEN(TRIM(C280))=0</formula>
    </cfRule>
  </conditionalFormatting>
  <conditionalFormatting sqref="C281">
    <cfRule type="expression" dxfId="21" priority="26" stopIfTrue="1">
      <formula>LEN(TRIM(C281))=0</formula>
    </cfRule>
  </conditionalFormatting>
  <conditionalFormatting sqref="C282">
    <cfRule type="expression" dxfId="20" priority="25" stopIfTrue="1">
      <formula>LEN(TRIM(C282))=0</formula>
    </cfRule>
  </conditionalFormatting>
  <conditionalFormatting sqref="C294">
    <cfRule type="expression" dxfId="19" priority="23" stopIfTrue="1">
      <formula>LEN(TRIM(C294))=0</formula>
    </cfRule>
  </conditionalFormatting>
  <conditionalFormatting sqref="C295">
    <cfRule type="expression" dxfId="18" priority="22" stopIfTrue="1">
      <formula>LEN(TRIM(C295))=0</formula>
    </cfRule>
  </conditionalFormatting>
  <conditionalFormatting sqref="C296">
    <cfRule type="expression" dxfId="17" priority="21" stopIfTrue="1">
      <formula>LEN(TRIM(C296))=0</formula>
    </cfRule>
  </conditionalFormatting>
  <conditionalFormatting sqref="C298:C308">
    <cfRule type="expression" dxfId="16" priority="20" stopIfTrue="1">
      <formula>LEN(TRIM(C298))=0</formula>
    </cfRule>
  </conditionalFormatting>
  <conditionalFormatting sqref="C309:C314 C317:C318">
    <cfRule type="expression" dxfId="15" priority="19" stopIfTrue="1">
      <formula>LEN(TRIM(C309))=0</formula>
    </cfRule>
  </conditionalFormatting>
  <conditionalFormatting sqref="C319">
    <cfRule type="expression" dxfId="14" priority="18" stopIfTrue="1">
      <formula>LEN(TRIM(C319))=0</formula>
    </cfRule>
  </conditionalFormatting>
  <conditionalFormatting sqref="C316">
    <cfRule type="expression" dxfId="13" priority="17" stopIfTrue="1">
      <formula>LEN(TRIM(C316))=0</formula>
    </cfRule>
  </conditionalFormatting>
  <conditionalFormatting sqref="C315">
    <cfRule type="expression" dxfId="12" priority="16" stopIfTrue="1">
      <formula>LEN(TRIM(C315))=0</formula>
    </cfRule>
  </conditionalFormatting>
  <conditionalFormatting sqref="C324">
    <cfRule type="expression" dxfId="11" priority="15" stopIfTrue="1">
      <formula>LEN(TRIM(C324))=0</formula>
    </cfRule>
  </conditionalFormatting>
  <conditionalFormatting sqref="C325:C329">
    <cfRule type="expression" dxfId="10" priority="14" stopIfTrue="1">
      <formula>LEN(TRIM(C325))=0</formula>
    </cfRule>
  </conditionalFormatting>
  <conditionalFormatting sqref="C330">
    <cfRule type="expression" dxfId="9" priority="13" stopIfTrue="1">
      <formula>LEN(TRIM(C330))=0</formula>
    </cfRule>
  </conditionalFormatting>
  <conditionalFormatting sqref="C332">
    <cfRule type="expression" dxfId="8" priority="12" stopIfTrue="1">
      <formula>LEN(TRIM(C332))=0</formula>
    </cfRule>
  </conditionalFormatting>
  <conditionalFormatting sqref="C348">
    <cfRule type="expression" dxfId="7" priority="10" stopIfTrue="1">
      <formula>LEN(TRIM(C348))=0</formula>
    </cfRule>
  </conditionalFormatting>
  <conditionalFormatting sqref="C351:C354">
    <cfRule type="expression" dxfId="6" priority="9" stopIfTrue="1">
      <formula>LEN(TRIM(C351))=0</formula>
    </cfRule>
  </conditionalFormatting>
  <conditionalFormatting sqref="C357">
    <cfRule type="expression" dxfId="5" priority="8" stopIfTrue="1">
      <formula>LEN(TRIM(C357))=0</formula>
    </cfRule>
  </conditionalFormatting>
  <conditionalFormatting sqref="C361">
    <cfRule type="expression" dxfId="4" priority="7" stopIfTrue="1">
      <formula>LEN(TRIM(C361))=0</formula>
    </cfRule>
  </conditionalFormatting>
  <conditionalFormatting sqref="C362">
    <cfRule type="expression" dxfId="3" priority="5" stopIfTrue="1">
      <formula>LEN(TRIM(C362))=0</formula>
    </cfRule>
  </conditionalFormatting>
  <conditionalFormatting sqref="K362">
    <cfRule type="expression" dxfId="2" priority="3" stopIfTrue="1">
      <formula>LEN(TRIM(K362))=0</formula>
    </cfRule>
  </conditionalFormatting>
  <conditionalFormatting sqref="L362">
    <cfRule type="expression" dxfId="1" priority="2" stopIfTrue="1">
      <formula>LEN(TRIM(L362))=0</formula>
    </cfRule>
  </conditionalFormatting>
  <conditionalFormatting sqref="M362">
    <cfRule type="expression" dxfId="0" priority="1" stopIfTrue="1">
      <formula>LEN(TRIM(M362))=0</formula>
    </cfRule>
  </conditionalFormatting>
  <pageMargins left="0.1701" right="0.1701" top="1.2957000000000001" bottom="1.2957000000000001" header="0" footer="0"/>
  <pageSetup paperSize="9" pageOrder="overThenDown" orientation="landscape" r:id="rId1"/>
  <extLst>
    <ext xmlns:x14="http://schemas.microsoft.com/office/spreadsheetml/2009/9/main" uri="{CCE6A557-97BC-4b89-ADB6-D9C93CAAB3DF}">
      <x14:dataValidations xmlns:xm="http://schemas.microsoft.com/office/excel/2006/main" count="2">
        <x14:dataValidation type="list" allowBlank="1" showErrorMessage="1">
          <x14:formula1>
            <xm:f>data_validation!$B$1:$B$7</xm:f>
          </x14:formula1>
          <xm:sqref>J5:J363</xm:sqref>
        </x14:dataValidation>
        <x14:dataValidation type="list" allowBlank="1" showErrorMessage="1">
          <x14:formula1>
            <xm:f>data_validation!$A$1:$A$30</xm:f>
          </x14:formula1>
          <xm:sqref>E5:E363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selection activeCell="E24" sqref="E24"/>
    </sheetView>
  </sheetViews>
  <sheetFormatPr defaultColWidth="12.625" defaultRowHeight="15" customHeight="1"/>
  <cols>
    <col min="1" max="1" width="6.875" customWidth="1"/>
    <col min="2" max="2" width="95.375" customWidth="1"/>
    <col min="3" max="3" width="20.25" customWidth="1"/>
    <col min="4" max="8" width="8.375" customWidth="1"/>
    <col min="9" max="26" width="8.625" customWidth="1"/>
  </cols>
  <sheetData>
    <row r="1" spans="1:26" ht="14.25" customHeight="1">
      <c r="A1" s="24"/>
      <c r="B1" s="25" t="s">
        <v>35</v>
      </c>
      <c r="C1" s="140" t="s">
        <v>36</v>
      </c>
      <c r="D1" s="141"/>
      <c r="E1" s="141"/>
      <c r="F1" s="141"/>
      <c r="G1" s="142"/>
      <c r="H1" s="24"/>
      <c r="I1" s="26"/>
      <c r="J1" s="26"/>
      <c r="K1" s="26"/>
      <c r="L1" s="26"/>
      <c r="M1" s="26"/>
      <c r="N1" s="26"/>
      <c r="O1" s="26"/>
      <c r="P1" s="26"/>
      <c r="Q1" s="26"/>
      <c r="R1" s="26"/>
      <c r="S1" s="26"/>
      <c r="T1" s="26"/>
      <c r="U1" s="26"/>
      <c r="V1" s="26"/>
      <c r="W1" s="26"/>
      <c r="X1" s="26"/>
      <c r="Y1" s="26"/>
      <c r="Z1" s="26"/>
    </row>
    <row r="2" spans="1:26" ht="43.5" customHeight="1">
      <c r="A2" s="27" t="s">
        <v>37</v>
      </c>
      <c r="B2" s="28" t="s">
        <v>38</v>
      </c>
      <c r="C2" s="29" t="s">
        <v>2</v>
      </c>
      <c r="D2" s="30"/>
      <c r="E2" s="30"/>
      <c r="F2" s="30"/>
      <c r="G2" s="30"/>
      <c r="H2" s="24"/>
      <c r="I2" s="26"/>
      <c r="J2" s="26"/>
      <c r="K2" s="26"/>
      <c r="L2" s="26"/>
      <c r="M2" s="26"/>
      <c r="N2" s="26"/>
      <c r="O2" s="26"/>
      <c r="P2" s="26"/>
      <c r="Q2" s="26"/>
      <c r="R2" s="26"/>
      <c r="S2" s="26"/>
      <c r="T2" s="26"/>
      <c r="U2" s="26"/>
      <c r="V2" s="26"/>
      <c r="W2" s="26"/>
      <c r="X2" s="26"/>
      <c r="Y2" s="26"/>
      <c r="Z2" s="26"/>
    </row>
    <row r="3" spans="1:26" ht="49.5" customHeight="1">
      <c r="A3" s="27" t="s">
        <v>39</v>
      </c>
      <c r="B3" s="31" t="s">
        <v>40</v>
      </c>
      <c r="C3" s="32" t="s">
        <v>3</v>
      </c>
      <c r="D3" s="30"/>
      <c r="E3" s="30"/>
      <c r="F3" s="30"/>
      <c r="G3" s="30"/>
      <c r="H3" s="24"/>
      <c r="I3" s="26"/>
      <c r="J3" s="26"/>
      <c r="K3" s="26"/>
      <c r="L3" s="26"/>
      <c r="M3" s="26"/>
      <c r="N3" s="26"/>
      <c r="O3" s="26"/>
      <c r="P3" s="26"/>
      <c r="Q3" s="26"/>
      <c r="R3" s="26"/>
      <c r="S3" s="26"/>
      <c r="T3" s="26"/>
      <c r="U3" s="26"/>
      <c r="V3" s="26"/>
      <c r="W3" s="26"/>
      <c r="X3" s="26"/>
      <c r="Y3" s="26"/>
      <c r="Z3" s="26"/>
    </row>
    <row r="4" spans="1:26" ht="49.5" customHeight="1">
      <c r="A4" s="27" t="s">
        <v>41</v>
      </c>
      <c r="B4" s="31" t="s">
        <v>42</v>
      </c>
      <c r="C4" s="32" t="s">
        <v>4</v>
      </c>
      <c r="D4" s="30"/>
      <c r="E4" s="30"/>
      <c r="F4" s="30"/>
      <c r="G4" s="30"/>
      <c r="H4" s="24"/>
      <c r="I4" s="26"/>
      <c r="J4" s="26"/>
      <c r="K4" s="26"/>
      <c r="L4" s="26"/>
      <c r="M4" s="26"/>
      <c r="N4" s="26"/>
      <c r="O4" s="26"/>
      <c r="P4" s="26"/>
      <c r="Q4" s="26"/>
      <c r="R4" s="26"/>
      <c r="S4" s="26"/>
      <c r="T4" s="26"/>
      <c r="U4" s="26"/>
      <c r="V4" s="26"/>
      <c r="W4" s="26"/>
      <c r="X4" s="26"/>
      <c r="Y4" s="26"/>
      <c r="Z4" s="26"/>
    </row>
    <row r="5" spans="1:26" ht="45.75" customHeight="1">
      <c r="A5" s="27" t="s">
        <v>43</v>
      </c>
      <c r="B5" s="31" t="s">
        <v>44</v>
      </c>
      <c r="C5" s="32" t="s">
        <v>5</v>
      </c>
      <c r="D5" s="30"/>
      <c r="E5" s="30"/>
      <c r="F5" s="30"/>
      <c r="G5" s="30"/>
      <c r="H5" s="24"/>
      <c r="I5" s="26"/>
      <c r="J5" s="26"/>
      <c r="K5" s="26"/>
      <c r="L5" s="26"/>
      <c r="M5" s="26"/>
      <c r="N5" s="26"/>
      <c r="O5" s="26"/>
      <c r="P5" s="26"/>
      <c r="Q5" s="26"/>
      <c r="R5" s="26"/>
      <c r="S5" s="26"/>
      <c r="T5" s="26"/>
      <c r="U5" s="26"/>
      <c r="V5" s="26"/>
      <c r="W5" s="26"/>
      <c r="X5" s="26"/>
      <c r="Y5" s="26"/>
      <c r="Z5" s="26"/>
    </row>
    <row r="6" spans="1:26" ht="66" customHeight="1">
      <c r="A6" s="143" t="s">
        <v>45</v>
      </c>
      <c r="B6" s="144" t="s">
        <v>46</v>
      </c>
      <c r="C6" s="145" t="s">
        <v>6</v>
      </c>
      <c r="D6" s="146" t="s">
        <v>7</v>
      </c>
      <c r="E6" s="141"/>
      <c r="F6" s="141"/>
      <c r="G6" s="147"/>
      <c r="H6" s="136" t="s">
        <v>47</v>
      </c>
      <c r="I6" s="137"/>
      <c r="J6" s="26"/>
      <c r="K6" s="26"/>
      <c r="L6" s="26"/>
      <c r="M6" s="26"/>
      <c r="N6" s="26"/>
      <c r="O6" s="26"/>
      <c r="P6" s="26"/>
      <c r="Q6" s="26"/>
      <c r="R6" s="26"/>
      <c r="S6" s="26"/>
      <c r="T6" s="26"/>
      <c r="U6" s="26"/>
      <c r="V6" s="26"/>
      <c r="W6" s="26"/>
      <c r="X6" s="26"/>
      <c r="Y6" s="26"/>
      <c r="Z6" s="26"/>
    </row>
    <row r="7" spans="1:26" ht="102" customHeight="1">
      <c r="A7" s="127"/>
      <c r="B7" s="127"/>
      <c r="C7" s="127"/>
      <c r="D7" s="33" t="s">
        <v>48</v>
      </c>
      <c r="E7" s="33" t="s">
        <v>27</v>
      </c>
      <c r="F7" s="33" t="s">
        <v>18</v>
      </c>
      <c r="G7" s="34" t="s">
        <v>19</v>
      </c>
      <c r="H7" s="138"/>
      <c r="I7" s="139"/>
      <c r="J7" s="26"/>
      <c r="K7" s="26"/>
      <c r="L7" s="26"/>
      <c r="M7" s="26"/>
      <c r="N7" s="26"/>
      <c r="O7" s="26"/>
      <c r="P7" s="26"/>
      <c r="Q7" s="26"/>
      <c r="R7" s="26"/>
      <c r="S7" s="26"/>
      <c r="T7" s="26"/>
      <c r="U7" s="26"/>
      <c r="V7" s="26"/>
      <c r="W7" s="26"/>
      <c r="X7" s="26"/>
      <c r="Y7" s="26"/>
      <c r="Z7" s="26"/>
    </row>
    <row r="8" spans="1:26" ht="42.75" customHeight="1">
      <c r="A8" s="27" t="s">
        <v>49</v>
      </c>
      <c r="B8" s="31" t="s">
        <v>50</v>
      </c>
      <c r="C8" s="32" t="s">
        <v>8</v>
      </c>
      <c r="D8" s="30"/>
      <c r="E8" s="30"/>
      <c r="F8" s="30"/>
      <c r="G8" s="30"/>
      <c r="H8" s="24"/>
      <c r="I8" s="26"/>
      <c r="J8" s="26"/>
      <c r="K8" s="26"/>
      <c r="L8" s="26"/>
      <c r="M8" s="26"/>
      <c r="N8" s="26"/>
      <c r="O8" s="26"/>
      <c r="P8" s="26"/>
      <c r="Q8" s="26"/>
      <c r="R8" s="26"/>
      <c r="S8" s="26"/>
      <c r="T8" s="26"/>
      <c r="U8" s="26"/>
      <c r="V8" s="26"/>
      <c r="W8" s="26"/>
      <c r="X8" s="26"/>
      <c r="Y8" s="26"/>
      <c r="Z8" s="26"/>
    </row>
    <row r="9" spans="1:26" ht="14.25" customHeight="1">
      <c r="A9" s="27" t="s">
        <v>51</v>
      </c>
      <c r="B9" s="31" t="s">
        <v>52</v>
      </c>
      <c r="C9" s="32" t="s">
        <v>9</v>
      </c>
      <c r="D9" s="30"/>
      <c r="E9" s="30"/>
      <c r="F9" s="30"/>
      <c r="G9" s="30"/>
      <c r="H9" s="24"/>
      <c r="I9" s="26"/>
      <c r="J9" s="26"/>
      <c r="K9" s="26"/>
      <c r="L9" s="26"/>
      <c r="M9" s="26"/>
      <c r="N9" s="26"/>
      <c r="O9" s="26"/>
      <c r="P9" s="26"/>
      <c r="Q9" s="26"/>
      <c r="R9" s="26"/>
      <c r="S9" s="26"/>
      <c r="T9" s="26"/>
      <c r="U9" s="26"/>
      <c r="V9" s="26"/>
      <c r="W9" s="26"/>
      <c r="X9" s="26"/>
      <c r="Y9" s="26"/>
      <c r="Z9" s="26"/>
    </row>
    <row r="10" spans="1:26" ht="14.25" customHeight="1">
      <c r="A10" s="27" t="s">
        <v>53</v>
      </c>
      <c r="B10" s="35" t="s">
        <v>54</v>
      </c>
      <c r="C10" s="36"/>
      <c r="D10" s="24"/>
      <c r="E10" s="24"/>
      <c r="F10" s="24"/>
      <c r="G10" s="24"/>
      <c r="H10" s="24"/>
      <c r="I10" s="26"/>
      <c r="J10" s="26"/>
      <c r="K10" s="26"/>
      <c r="L10" s="26"/>
      <c r="M10" s="26"/>
      <c r="N10" s="26"/>
      <c r="O10" s="26"/>
      <c r="P10" s="26"/>
      <c r="Q10" s="26"/>
      <c r="R10" s="26"/>
      <c r="S10" s="26"/>
      <c r="T10" s="26"/>
      <c r="U10" s="26"/>
      <c r="V10" s="26"/>
      <c r="W10" s="26"/>
      <c r="X10" s="26"/>
      <c r="Y10" s="26"/>
      <c r="Z10" s="26"/>
    </row>
    <row r="11" spans="1:26" ht="14.25" customHeight="1">
      <c r="A11" s="24"/>
      <c r="B11" s="24"/>
      <c r="C11" s="24"/>
      <c r="D11" s="24"/>
      <c r="E11" s="24"/>
      <c r="F11" s="24"/>
      <c r="G11" s="24"/>
      <c r="H11" s="24"/>
      <c r="I11" s="26"/>
      <c r="J11" s="26"/>
      <c r="K11" s="26"/>
      <c r="L11" s="26"/>
      <c r="M11" s="26"/>
      <c r="N11" s="26"/>
      <c r="O11" s="26"/>
      <c r="P11" s="26"/>
      <c r="Q11" s="26"/>
      <c r="R11" s="26"/>
      <c r="S11" s="26"/>
      <c r="T11" s="26"/>
      <c r="U11" s="26"/>
      <c r="V11" s="26"/>
      <c r="W11" s="26"/>
      <c r="X11" s="26"/>
      <c r="Y11" s="26"/>
      <c r="Z11" s="26"/>
    </row>
    <row r="12" spans="1:26" ht="14.25" customHeight="1">
      <c r="A12" s="24"/>
      <c r="B12" s="24"/>
      <c r="C12" s="24"/>
      <c r="D12" s="24"/>
      <c r="E12" s="24"/>
      <c r="F12" s="26"/>
      <c r="G12" s="24"/>
      <c r="H12" s="24"/>
      <c r="I12" s="26"/>
      <c r="J12" s="26"/>
      <c r="K12" s="26"/>
      <c r="L12" s="26"/>
      <c r="M12" s="26"/>
      <c r="N12" s="26"/>
      <c r="O12" s="26"/>
      <c r="P12" s="26"/>
      <c r="Q12" s="26"/>
      <c r="R12" s="26"/>
      <c r="S12" s="26"/>
      <c r="T12" s="26"/>
      <c r="U12" s="26"/>
      <c r="V12" s="26"/>
      <c r="W12" s="26"/>
      <c r="X12" s="26"/>
      <c r="Y12" s="26"/>
      <c r="Z12" s="26"/>
    </row>
    <row r="13" spans="1:26" ht="14.25" customHeight="1">
      <c r="A13" s="37"/>
      <c r="B13" s="27" t="s">
        <v>55</v>
      </c>
      <c r="C13" s="24"/>
      <c r="D13" s="24"/>
      <c r="E13" s="24"/>
      <c r="F13" s="24"/>
      <c r="G13" s="24"/>
      <c r="H13" s="24"/>
      <c r="I13" s="26"/>
      <c r="J13" s="26"/>
      <c r="K13" s="26"/>
      <c r="L13" s="26"/>
      <c r="M13" s="26"/>
      <c r="N13" s="26"/>
      <c r="O13" s="26"/>
      <c r="P13" s="26"/>
      <c r="Q13" s="26"/>
      <c r="R13" s="26"/>
      <c r="S13" s="26"/>
      <c r="T13" s="26"/>
      <c r="U13" s="26"/>
      <c r="V13" s="26"/>
      <c r="W13" s="26"/>
      <c r="X13" s="26"/>
      <c r="Y13" s="26"/>
      <c r="Z13" s="26"/>
    </row>
    <row r="14" spans="1:26" ht="14.25" customHeight="1">
      <c r="A14" s="38" t="s">
        <v>56</v>
      </c>
      <c r="B14" s="39" t="s">
        <v>57</v>
      </c>
      <c r="C14" s="24"/>
      <c r="D14" s="24"/>
      <c r="E14" s="24"/>
      <c r="F14" s="24"/>
      <c r="G14" s="24"/>
      <c r="H14" s="24"/>
      <c r="I14" s="26"/>
      <c r="J14" s="26"/>
      <c r="K14" s="26"/>
      <c r="L14" s="26"/>
      <c r="M14" s="26"/>
      <c r="N14" s="26"/>
      <c r="O14" s="26"/>
      <c r="P14" s="26"/>
      <c r="Q14" s="26"/>
      <c r="R14" s="26"/>
      <c r="S14" s="26"/>
      <c r="T14" s="26"/>
      <c r="U14" s="26"/>
      <c r="V14" s="26"/>
      <c r="W14" s="26"/>
      <c r="X14" s="26"/>
      <c r="Y14" s="26"/>
      <c r="Z14" s="26"/>
    </row>
    <row r="15" spans="1:26" ht="14.25" customHeight="1">
      <c r="A15" s="38" t="s">
        <v>58</v>
      </c>
      <c r="B15" s="40" t="s">
        <v>59</v>
      </c>
      <c r="C15" s="24"/>
      <c r="D15" s="24"/>
      <c r="E15" s="24"/>
      <c r="F15" s="24"/>
      <c r="G15" s="24"/>
      <c r="H15" s="24"/>
      <c r="I15" s="26"/>
      <c r="J15" s="26"/>
      <c r="K15" s="26"/>
      <c r="L15" s="26"/>
      <c r="M15" s="26"/>
      <c r="N15" s="26"/>
      <c r="O15" s="26"/>
      <c r="P15" s="26"/>
      <c r="Q15" s="26"/>
      <c r="R15" s="26"/>
      <c r="S15" s="26"/>
      <c r="T15" s="26"/>
      <c r="U15" s="26"/>
      <c r="V15" s="26"/>
      <c r="W15" s="26"/>
      <c r="X15" s="26"/>
      <c r="Y15" s="26"/>
      <c r="Z15" s="26"/>
    </row>
    <row r="16" spans="1:26" ht="36.75" customHeight="1">
      <c r="A16" s="38" t="s">
        <v>60</v>
      </c>
      <c r="B16" s="41" t="s">
        <v>61</v>
      </c>
      <c r="C16" s="24"/>
      <c r="D16" s="24"/>
      <c r="E16" s="24"/>
      <c r="F16" s="24"/>
      <c r="G16" s="24"/>
      <c r="H16" s="24"/>
      <c r="I16" s="26"/>
      <c r="J16" s="26"/>
      <c r="K16" s="26"/>
      <c r="L16" s="26"/>
      <c r="M16" s="26"/>
      <c r="N16" s="26"/>
      <c r="O16" s="26"/>
      <c r="P16" s="26"/>
      <c r="Q16" s="26"/>
      <c r="R16" s="26"/>
      <c r="S16" s="26"/>
      <c r="T16" s="26"/>
      <c r="U16" s="26"/>
      <c r="V16" s="26"/>
      <c r="W16" s="26"/>
      <c r="X16" s="26"/>
      <c r="Y16" s="26"/>
      <c r="Z16" s="26"/>
    </row>
    <row r="17" spans="1:26" ht="90" customHeight="1">
      <c r="A17" s="42" t="s">
        <v>62</v>
      </c>
      <c r="B17" s="43" t="s">
        <v>63</v>
      </c>
      <c r="C17" s="24"/>
      <c r="D17" s="24"/>
      <c r="E17" s="24"/>
      <c r="F17" s="24"/>
      <c r="G17" s="24"/>
      <c r="H17" s="24"/>
      <c r="I17" s="26"/>
      <c r="J17" s="26"/>
      <c r="K17" s="26"/>
      <c r="L17" s="26"/>
      <c r="M17" s="26"/>
      <c r="N17" s="26"/>
      <c r="O17" s="26"/>
      <c r="P17" s="26"/>
      <c r="Q17" s="26"/>
      <c r="R17" s="26"/>
      <c r="S17" s="26"/>
      <c r="T17" s="26"/>
      <c r="U17" s="26"/>
      <c r="V17" s="26"/>
      <c r="W17" s="26"/>
      <c r="X17" s="26"/>
      <c r="Y17" s="26"/>
      <c r="Z17" s="26"/>
    </row>
    <row r="18" spans="1:26" ht="14.25" customHeight="1">
      <c r="A18" s="24"/>
      <c r="B18" s="44"/>
      <c r="C18" s="24"/>
      <c r="D18" s="24"/>
      <c r="E18" s="24"/>
      <c r="F18" s="24"/>
      <c r="G18" s="24"/>
      <c r="H18" s="24"/>
      <c r="I18" s="26"/>
      <c r="J18" s="26"/>
      <c r="K18" s="26"/>
      <c r="L18" s="26"/>
      <c r="M18" s="26"/>
      <c r="N18" s="26"/>
      <c r="O18" s="26"/>
      <c r="P18" s="26"/>
      <c r="Q18" s="26"/>
      <c r="R18" s="26"/>
      <c r="S18" s="26"/>
      <c r="T18" s="26"/>
      <c r="U18" s="26"/>
      <c r="V18" s="26"/>
      <c r="W18" s="26"/>
      <c r="X18" s="26"/>
      <c r="Y18" s="26"/>
      <c r="Z18" s="26"/>
    </row>
    <row r="19" spans="1:26" ht="14.25" customHeight="1">
      <c r="A19" s="24"/>
      <c r="B19" s="45" t="s">
        <v>64</v>
      </c>
      <c r="C19" s="24"/>
      <c r="D19" s="24"/>
      <c r="E19" s="24"/>
      <c r="F19" s="24"/>
      <c r="G19" s="24"/>
      <c r="H19" s="24"/>
      <c r="I19" s="26"/>
      <c r="J19" s="26"/>
      <c r="K19" s="26"/>
      <c r="L19" s="26"/>
      <c r="M19" s="26"/>
      <c r="N19" s="26"/>
      <c r="O19" s="26"/>
      <c r="P19" s="26"/>
      <c r="Q19" s="26"/>
      <c r="R19" s="26"/>
      <c r="S19" s="26"/>
      <c r="T19" s="26"/>
      <c r="U19" s="26"/>
      <c r="V19" s="26"/>
      <c r="W19" s="26"/>
      <c r="X19" s="26"/>
      <c r="Y19" s="26"/>
      <c r="Z19" s="26"/>
    </row>
    <row r="20" spans="1:26" ht="14.25" customHeight="1">
      <c r="A20" s="24"/>
      <c r="B20" s="46" t="s">
        <v>65</v>
      </c>
      <c r="C20" s="24"/>
      <c r="D20" s="24"/>
      <c r="E20" s="24"/>
      <c r="F20" s="24"/>
      <c r="G20" s="24"/>
      <c r="H20" s="24"/>
      <c r="I20" s="26"/>
      <c r="J20" s="26"/>
      <c r="K20" s="26"/>
      <c r="L20" s="26"/>
      <c r="M20" s="26"/>
      <c r="N20" s="26"/>
      <c r="O20" s="26"/>
      <c r="P20" s="26"/>
      <c r="Q20" s="26"/>
      <c r="R20" s="26"/>
      <c r="S20" s="26"/>
      <c r="T20" s="26"/>
      <c r="U20" s="26"/>
      <c r="V20" s="26"/>
      <c r="W20" s="26"/>
      <c r="X20" s="26"/>
      <c r="Y20" s="26"/>
      <c r="Z20" s="26"/>
    </row>
    <row r="21" spans="1:26" ht="14.25" customHeight="1">
      <c r="A21" s="24"/>
      <c r="B21" s="46" t="s">
        <v>66</v>
      </c>
      <c r="C21" s="24"/>
      <c r="D21" s="24"/>
      <c r="E21" s="24"/>
      <c r="F21" s="24"/>
      <c r="G21" s="24"/>
      <c r="H21" s="24"/>
      <c r="I21" s="26"/>
      <c r="J21" s="26"/>
      <c r="K21" s="26"/>
      <c r="L21" s="26"/>
      <c r="M21" s="26"/>
      <c r="N21" s="26"/>
      <c r="O21" s="26"/>
      <c r="P21" s="26"/>
      <c r="Q21" s="26"/>
      <c r="R21" s="26"/>
      <c r="S21" s="26"/>
      <c r="T21" s="26"/>
      <c r="U21" s="26"/>
      <c r="V21" s="26"/>
      <c r="W21" s="26"/>
      <c r="X21" s="26"/>
      <c r="Y21" s="26"/>
      <c r="Z21" s="26"/>
    </row>
    <row r="22" spans="1:26" ht="14.25" customHeight="1">
      <c r="A22" s="24"/>
      <c r="B22" s="46" t="s">
        <v>67</v>
      </c>
      <c r="C22" s="24"/>
      <c r="D22" s="24"/>
      <c r="E22" s="24"/>
      <c r="F22" s="24"/>
      <c r="G22" s="24"/>
      <c r="H22" s="24"/>
      <c r="I22" s="26"/>
      <c r="J22" s="26"/>
      <c r="K22" s="26"/>
      <c r="L22" s="26"/>
      <c r="M22" s="26"/>
      <c r="N22" s="26"/>
      <c r="O22" s="26"/>
      <c r="P22" s="26"/>
      <c r="Q22" s="26"/>
      <c r="R22" s="26"/>
      <c r="S22" s="26"/>
      <c r="T22" s="26"/>
      <c r="U22" s="26"/>
      <c r="V22" s="26"/>
      <c r="W22" s="26"/>
      <c r="X22" s="26"/>
      <c r="Y22" s="26"/>
      <c r="Z22" s="26"/>
    </row>
    <row r="23" spans="1:26" ht="14.25" customHeight="1">
      <c r="A23" s="24"/>
      <c r="B23" s="46" t="s">
        <v>68</v>
      </c>
      <c r="C23" s="24"/>
      <c r="D23" s="24"/>
      <c r="E23" s="24"/>
      <c r="F23" s="24"/>
      <c r="G23" s="24"/>
      <c r="H23" s="24"/>
      <c r="I23" s="26"/>
      <c r="J23" s="26"/>
      <c r="K23" s="26"/>
      <c r="L23" s="26"/>
      <c r="M23" s="26"/>
      <c r="N23" s="26"/>
      <c r="O23" s="26"/>
      <c r="P23" s="26"/>
      <c r="Q23" s="26"/>
      <c r="R23" s="26"/>
      <c r="S23" s="26"/>
      <c r="T23" s="26"/>
      <c r="U23" s="26"/>
      <c r="V23" s="26"/>
      <c r="W23" s="26"/>
      <c r="X23" s="26"/>
      <c r="Y23" s="26"/>
      <c r="Z23" s="26"/>
    </row>
    <row r="24" spans="1:26" ht="14.25" customHeight="1">
      <c r="A24" s="24"/>
      <c r="B24" s="46" t="s">
        <v>69</v>
      </c>
      <c r="C24" s="24"/>
      <c r="D24" s="24"/>
      <c r="E24" s="24"/>
      <c r="F24" s="24"/>
      <c r="G24" s="24"/>
      <c r="H24" s="24"/>
      <c r="I24" s="26"/>
      <c r="J24" s="26"/>
      <c r="K24" s="26"/>
      <c r="L24" s="26"/>
      <c r="M24" s="26"/>
      <c r="N24" s="26"/>
      <c r="O24" s="26"/>
      <c r="P24" s="26"/>
      <c r="Q24" s="26"/>
      <c r="R24" s="26"/>
      <c r="S24" s="26"/>
      <c r="T24" s="26"/>
      <c r="U24" s="26"/>
      <c r="V24" s="26"/>
      <c r="W24" s="26"/>
      <c r="X24" s="26"/>
      <c r="Y24" s="26"/>
      <c r="Z24" s="26"/>
    </row>
    <row r="25" spans="1:26" ht="14.25" customHeight="1">
      <c r="A25" s="24"/>
      <c r="B25" s="46" t="s">
        <v>70</v>
      </c>
      <c r="C25" s="24"/>
      <c r="D25" s="24"/>
      <c r="E25" s="24"/>
      <c r="F25" s="24"/>
      <c r="G25" s="24"/>
      <c r="H25" s="24"/>
      <c r="I25" s="26"/>
      <c r="J25" s="26"/>
      <c r="K25" s="26"/>
      <c r="L25" s="26"/>
      <c r="M25" s="26"/>
      <c r="N25" s="26"/>
      <c r="O25" s="26"/>
      <c r="P25" s="26"/>
      <c r="Q25" s="26"/>
      <c r="R25" s="26"/>
      <c r="S25" s="26"/>
      <c r="T25" s="26"/>
      <c r="U25" s="26"/>
      <c r="V25" s="26"/>
      <c r="W25" s="26"/>
      <c r="X25" s="26"/>
      <c r="Y25" s="26"/>
      <c r="Z25" s="26"/>
    </row>
    <row r="26" spans="1:26" ht="14.25" customHeight="1">
      <c r="A26" s="24"/>
      <c r="B26" s="46" t="s">
        <v>71</v>
      </c>
      <c r="C26" s="24"/>
      <c r="D26" s="24"/>
      <c r="E26" s="24"/>
      <c r="F26" s="24"/>
      <c r="G26" s="24"/>
      <c r="H26" s="24"/>
      <c r="I26" s="26"/>
      <c r="J26" s="26"/>
      <c r="K26" s="26"/>
      <c r="L26" s="26"/>
      <c r="M26" s="26"/>
      <c r="N26" s="26"/>
      <c r="O26" s="26"/>
      <c r="P26" s="26"/>
      <c r="Q26" s="26"/>
      <c r="R26" s="26"/>
      <c r="S26" s="26"/>
      <c r="T26" s="26"/>
      <c r="U26" s="26"/>
      <c r="V26" s="26"/>
      <c r="W26" s="26"/>
      <c r="X26" s="26"/>
      <c r="Y26" s="26"/>
      <c r="Z26" s="26"/>
    </row>
    <row r="27" spans="1:26" ht="14.25" customHeight="1">
      <c r="A27" s="24"/>
      <c r="B27" s="46" t="s">
        <v>72</v>
      </c>
      <c r="C27" s="24"/>
      <c r="D27" s="24"/>
      <c r="E27" s="24"/>
      <c r="F27" s="24"/>
      <c r="G27" s="24"/>
      <c r="H27" s="24"/>
      <c r="I27" s="26"/>
      <c r="J27" s="26"/>
      <c r="K27" s="26"/>
      <c r="L27" s="26"/>
      <c r="M27" s="26"/>
      <c r="N27" s="26"/>
      <c r="O27" s="26"/>
      <c r="P27" s="26"/>
      <c r="Q27" s="26"/>
      <c r="R27" s="26"/>
      <c r="S27" s="26"/>
      <c r="T27" s="26"/>
      <c r="U27" s="26"/>
      <c r="V27" s="26"/>
      <c r="W27" s="26"/>
      <c r="X27" s="26"/>
      <c r="Y27" s="26"/>
      <c r="Z27" s="26"/>
    </row>
    <row r="28" spans="1:26" ht="14.25" customHeight="1">
      <c r="A28" s="24"/>
      <c r="B28" s="46" t="s">
        <v>73</v>
      </c>
      <c r="C28" s="24"/>
      <c r="D28" s="24"/>
      <c r="E28" s="24"/>
      <c r="F28" s="24"/>
      <c r="G28" s="24"/>
      <c r="H28" s="24"/>
      <c r="I28" s="26"/>
      <c r="J28" s="26"/>
      <c r="K28" s="26"/>
      <c r="L28" s="26"/>
      <c r="M28" s="26"/>
      <c r="N28" s="26"/>
      <c r="O28" s="26"/>
      <c r="P28" s="26"/>
      <c r="Q28" s="26"/>
      <c r="R28" s="26"/>
      <c r="S28" s="26"/>
      <c r="T28" s="26"/>
      <c r="U28" s="26"/>
      <c r="V28" s="26"/>
      <c r="W28" s="26"/>
      <c r="X28" s="26"/>
      <c r="Y28" s="26"/>
      <c r="Z28" s="26"/>
    </row>
    <row r="29" spans="1:26"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4.25" customHeight="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mergeCells count="6">
    <mergeCell ref="H6:I7"/>
    <mergeCell ref="C1:G1"/>
    <mergeCell ref="A6:A7"/>
    <mergeCell ref="B6:B7"/>
    <mergeCell ref="C6:C7"/>
    <mergeCell ref="D6:G6"/>
  </mergeCells>
  <hyperlinks>
    <hyperlink ref="B2" r:id="rId1"/>
  </hyperlinks>
  <pageMargins left="0.70000000000000007" right="0.70000000000000007" top="1.0457000000000001" bottom="1.0457000000000001" header="0" footer="0"/>
  <pageSetup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9"/>
  <sheetViews>
    <sheetView workbookViewId="0"/>
  </sheetViews>
  <sheetFormatPr defaultColWidth="12.625" defaultRowHeight="15" customHeight="1"/>
  <cols>
    <col min="1" max="1" width="69.5" customWidth="1"/>
    <col min="2" max="2" width="50" customWidth="1"/>
    <col min="3" max="5" width="8.375" customWidth="1"/>
    <col min="6" max="25" width="8.625" customWidth="1"/>
  </cols>
  <sheetData>
    <row r="1" spans="1:2" ht="14.25" customHeight="1">
      <c r="A1" s="47" t="s">
        <v>74</v>
      </c>
      <c r="B1" s="48" t="s">
        <v>75</v>
      </c>
    </row>
    <row r="2" spans="1:2" ht="14.25" customHeight="1">
      <c r="A2" s="49" t="s">
        <v>76</v>
      </c>
      <c r="B2" s="48" t="s">
        <v>77</v>
      </c>
    </row>
    <row r="3" spans="1:2" ht="14.25" customHeight="1">
      <c r="A3" s="49" t="s">
        <v>78</v>
      </c>
      <c r="B3" s="48" t="s">
        <v>79</v>
      </c>
    </row>
    <row r="4" spans="1:2" ht="14.25" customHeight="1">
      <c r="A4" s="50" t="s">
        <v>80</v>
      </c>
      <c r="B4" s="48" t="s">
        <v>81</v>
      </c>
    </row>
    <row r="5" spans="1:2" ht="14.25" customHeight="1">
      <c r="A5" s="49" t="s">
        <v>82</v>
      </c>
      <c r="B5" s="48" t="s">
        <v>83</v>
      </c>
    </row>
    <row r="6" spans="1:2" ht="14.25" customHeight="1">
      <c r="A6" s="50" t="s">
        <v>84</v>
      </c>
      <c r="B6" s="48" t="s">
        <v>85</v>
      </c>
    </row>
    <row r="7" spans="1:2" ht="14.25" customHeight="1">
      <c r="A7" s="49" t="s">
        <v>86</v>
      </c>
      <c r="B7" s="48" t="s">
        <v>87</v>
      </c>
    </row>
    <row r="8" spans="1:2" ht="14.25" customHeight="1">
      <c r="A8" s="47" t="s">
        <v>88</v>
      </c>
    </row>
    <row r="9" spans="1:2" ht="14.25" customHeight="1">
      <c r="A9" s="47" t="s">
        <v>89</v>
      </c>
    </row>
    <row r="10" spans="1:2" ht="14.25" customHeight="1">
      <c r="A10" s="47" t="s">
        <v>90</v>
      </c>
    </row>
    <row r="11" spans="1:2" ht="14.25" customHeight="1">
      <c r="A11" s="50" t="s">
        <v>91</v>
      </c>
    </row>
    <row r="12" spans="1:2" ht="14.25" customHeight="1">
      <c r="A12" s="50" t="s">
        <v>92</v>
      </c>
    </row>
    <row r="13" spans="1:2" ht="14.25" customHeight="1">
      <c r="A13" s="50" t="s">
        <v>93</v>
      </c>
    </row>
    <row r="14" spans="1:2" ht="14.25" customHeight="1">
      <c r="A14" s="50" t="s">
        <v>94</v>
      </c>
    </row>
    <row r="15" spans="1:2" ht="14.25" customHeight="1">
      <c r="A15" s="50" t="s">
        <v>95</v>
      </c>
    </row>
    <row r="16" spans="1:2" ht="14.25" customHeight="1">
      <c r="A16" s="50" t="s">
        <v>96</v>
      </c>
    </row>
    <row r="17" spans="1:2" ht="14.25" customHeight="1">
      <c r="A17" s="50" t="s">
        <v>97</v>
      </c>
    </row>
    <row r="18" spans="1:2" ht="14.25" customHeight="1">
      <c r="A18" s="50" t="s">
        <v>98</v>
      </c>
    </row>
    <row r="19" spans="1:2" ht="14.25" customHeight="1">
      <c r="A19" s="50" t="s">
        <v>99</v>
      </c>
    </row>
    <row r="20" spans="1:2" ht="14.25" customHeight="1">
      <c r="A20" s="50" t="s">
        <v>100</v>
      </c>
      <c r="B20" s="48"/>
    </row>
    <row r="21" spans="1:2" ht="14.25" customHeight="1">
      <c r="A21" s="50" t="s">
        <v>101</v>
      </c>
      <c r="B21" s="48"/>
    </row>
    <row r="22" spans="1:2" ht="14.25" customHeight="1">
      <c r="A22" s="51" t="s">
        <v>102</v>
      </c>
    </row>
    <row r="23" spans="1:2" ht="14.25" customHeight="1">
      <c r="A23" s="52" t="s">
        <v>103</v>
      </c>
    </row>
    <row r="24" spans="1:2" ht="14.25" customHeight="1">
      <c r="A24" s="53" t="s">
        <v>104</v>
      </c>
    </row>
    <row r="25" spans="1:2" ht="14.25" customHeight="1">
      <c r="A25" s="52" t="s">
        <v>105</v>
      </c>
    </row>
    <row r="26" spans="1:2" ht="14.25" customHeight="1">
      <c r="A26" s="52" t="s">
        <v>106</v>
      </c>
    </row>
    <row r="27" spans="1:2" ht="14.25" customHeight="1">
      <c r="A27" s="54" t="s">
        <v>107</v>
      </c>
    </row>
    <row r="28" spans="1:2" ht="14.25" customHeight="1">
      <c r="A28" s="52" t="s">
        <v>108</v>
      </c>
    </row>
    <row r="29" spans="1:2" ht="14.25" customHeight="1">
      <c r="A29" s="52" t="s">
        <v>109</v>
      </c>
    </row>
    <row r="30" spans="1:2" ht="14.25" customHeight="1">
      <c r="A30" s="49" t="s">
        <v>110</v>
      </c>
    </row>
    <row r="31" spans="1:2" ht="14.25" customHeight="1"/>
    <row r="32" spans="1:2" ht="14.25" customHeight="1">
      <c r="A32" s="55"/>
    </row>
    <row r="33" spans="1:1" ht="14.25" customHeight="1">
      <c r="A33" s="55"/>
    </row>
    <row r="34" spans="1:1" ht="14.25" customHeight="1">
      <c r="A34" s="55"/>
    </row>
    <row r="35" spans="1:1" ht="14.25" customHeight="1">
      <c r="A35" s="55"/>
    </row>
    <row r="36" spans="1:1" ht="14.25" customHeight="1">
      <c r="A36" s="55"/>
    </row>
    <row r="37" spans="1:1" ht="14.25" customHeight="1">
      <c r="A37" s="55"/>
    </row>
    <row r="38" spans="1:1" ht="14.25" customHeight="1">
      <c r="A38" s="55"/>
    </row>
    <row r="39" spans="1:1" ht="14.25" customHeight="1">
      <c r="A39" s="55"/>
    </row>
    <row r="40" spans="1:1" ht="14.25" customHeight="1">
      <c r="A40" s="55"/>
    </row>
    <row r="41" spans="1:1" ht="14.25" customHeight="1">
      <c r="A41" s="55"/>
    </row>
    <row r="42" spans="1:1" ht="14.25" customHeight="1">
      <c r="A42" s="55"/>
    </row>
    <row r="43" spans="1:1" ht="14.25" customHeight="1">
      <c r="A43" s="55"/>
    </row>
    <row r="44" spans="1:1" ht="14.25" customHeight="1">
      <c r="A44" s="55"/>
    </row>
    <row r="45" spans="1:1" ht="14.25" customHeight="1">
      <c r="A45" s="55"/>
    </row>
    <row r="46" spans="1:1" ht="14.25" customHeight="1">
      <c r="A46" s="55"/>
    </row>
    <row r="47" spans="1:1" ht="14.25" customHeight="1">
      <c r="A47" s="55"/>
    </row>
    <row r="48" spans="1:1" ht="14.25" customHeight="1">
      <c r="A48" s="55"/>
    </row>
    <row r="49" spans="1:1" ht="14.25" customHeight="1">
      <c r="A49" s="55"/>
    </row>
    <row r="50" spans="1:1" ht="14.25" customHeight="1">
      <c r="A50" s="55"/>
    </row>
    <row r="51" spans="1:1" ht="14.25" customHeight="1">
      <c r="A51" s="55"/>
    </row>
    <row r="52" spans="1:1" ht="14.25" customHeight="1">
      <c r="A52" s="55"/>
    </row>
    <row r="53" spans="1:1" ht="14.25" customHeight="1">
      <c r="A53" s="55"/>
    </row>
    <row r="54" spans="1:1" ht="14.25" customHeight="1">
      <c r="A54" s="55"/>
    </row>
    <row r="55" spans="1:1" ht="14.25" customHeight="1">
      <c r="A55" s="55"/>
    </row>
    <row r="56" spans="1:1" ht="14.25" customHeight="1">
      <c r="A56" s="55"/>
    </row>
    <row r="57" spans="1:1" ht="14.25" customHeight="1">
      <c r="A57" s="55"/>
    </row>
    <row r="58" spans="1:1" ht="14.25" customHeight="1">
      <c r="A58" s="55"/>
    </row>
    <row r="59" spans="1:1" ht="14.25" customHeight="1">
      <c r="A59" s="55"/>
    </row>
    <row r="60" spans="1:1" ht="14.25" customHeight="1">
      <c r="A60" s="55"/>
    </row>
    <row r="61" spans="1:1" ht="14.25" customHeight="1">
      <c r="A61" s="55"/>
    </row>
    <row r="62" spans="1:1" ht="14.25" customHeight="1">
      <c r="A62" s="55"/>
    </row>
    <row r="63" spans="1:1" ht="14.25" customHeight="1">
      <c r="A63" s="55"/>
    </row>
    <row r="64" spans="1:1" ht="14.25" customHeight="1">
      <c r="A64" s="55"/>
    </row>
    <row r="65" spans="1:1" ht="14.25" customHeight="1">
      <c r="A65" s="55"/>
    </row>
    <row r="66" spans="1:1" ht="14.25" customHeight="1">
      <c r="A66" s="55"/>
    </row>
    <row r="67" spans="1:1" ht="14.25" customHeight="1">
      <c r="A67" s="55"/>
    </row>
    <row r="68" spans="1:1" ht="14.25" customHeight="1">
      <c r="A68" s="55"/>
    </row>
    <row r="69" spans="1:1" ht="14.25" customHeight="1">
      <c r="A69" s="55"/>
    </row>
    <row r="70" spans="1:1" ht="14.25" customHeight="1">
      <c r="A70" s="55"/>
    </row>
    <row r="71" spans="1:1" ht="14.25" customHeight="1">
      <c r="A71" s="55"/>
    </row>
    <row r="72" spans="1:1" ht="14.25" customHeight="1">
      <c r="A72" s="55"/>
    </row>
    <row r="73" spans="1:1" ht="14.25" customHeight="1">
      <c r="A73" s="55"/>
    </row>
    <row r="74" spans="1:1" ht="14.25" customHeight="1">
      <c r="A74" s="55"/>
    </row>
    <row r="75" spans="1:1" ht="14.25" customHeight="1">
      <c r="A75" s="55"/>
    </row>
    <row r="76" spans="1:1" ht="14.25" customHeight="1">
      <c r="A76" s="55"/>
    </row>
    <row r="77" spans="1:1" ht="14.25" customHeight="1">
      <c r="A77" s="55"/>
    </row>
    <row r="78" spans="1:1" ht="14.25" customHeight="1">
      <c r="A78" s="55"/>
    </row>
    <row r="79" spans="1:1" ht="14.25" customHeight="1">
      <c r="A79" s="55"/>
    </row>
    <row r="80" spans="1:1" ht="14.25" customHeight="1">
      <c r="A80" s="55"/>
    </row>
    <row r="81" spans="1:1" ht="14.25" customHeight="1">
      <c r="A81" s="55"/>
    </row>
    <row r="82" spans="1:1" ht="14.25" customHeight="1">
      <c r="A82" s="55"/>
    </row>
    <row r="83" spans="1:1" ht="14.25" customHeight="1">
      <c r="A83" s="55"/>
    </row>
    <row r="84" spans="1:1" ht="14.25" customHeight="1">
      <c r="A84" s="55"/>
    </row>
    <row r="85" spans="1:1" ht="14.25" customHeight="1">
      <c r="A85" s="55"/>
    </row>
    <row r="86" spans="1:1" ht="14.25" customHeight="1">
      <c r="A86" s="55"/>
    </row>
    <row r="87" spans="1:1" ht="14.25" customHeight="1">
      <c r="A87" s="55"/>
    </row>
    <row r="88" spans="1:1" ht="14.25" customHeight="1">
      <c r="A88" s="55"/>
    </row>
    <row r="89" spans="1:1" ht="14.25" customHeight="1">
      <c r="A89" s="55"/>
    </row>
    <row r="90" spans="1:1" ht="14.25" customHeight="1">
      <c r="A90" s="55"/>
    </row>
    <row r="91" spans="1:1" ht="14.25" customHeight="1">
      <c r="A91" s="55"/>
    </row>
    <row r="92" spans="1:1" ht="14.25" customHeight="1">
      <c r="A92" s="55"/>
    </row>
    <row r="93" spans="1:1" ht="14.25" customHeight="1">
      <c r="A93" s="55"/>
    </row>
    <row r="94" spans="1:1" ht="14.25" customHeight="1">
      <c r="A94" s="55"/>
    </row>
    <row r="95" spans="1:1" ht="14.25" customHeight="1">
      <c r="A95" s="55"/>
    </row>
    <row r="96" spans="1:1" ht="14.25" customHeight="1">
      <c r="A96" s="55"/>
    </row>
    <row r="97" spans="1:1" ht="14.25" customHeight="1">
      <c r="A97" s="55"/>
    </row>
    <row r="98" spans="1:1" ht="14.25" customHeight="1">
      <c r="A98" s="55"/>
    </row>
    <row r="99" spans="1:1" ht="14.25" customHeight="1">
      <c r="A99" s="55"/>
    </row>
    <row r="100" spans="1:1" ht="14.25" customHeight="1">
      <c r="A100" s="55"/>
    </row>
    <row r="101" spans="1:1" ht="14.25" customHeight="1">
      <c r="A101" s="55"/>
    </row>
    <row r="102" spans="1:1" ht="14.25" customHeight="1">
      <c r="A102" s="55"/>
    </row>
    <row r="103" spans="1:1" ht="14.25" customHeight="1">
      <c r="A103" s="55"/>
    </row>
    <row r="104" spans="1:1" ht="14.25" customHeight="1">
      <c r="A104" s="55"/>
    </row>
    <row r="105" spans="1:1" ht="14.25" customHeight="1">
      <c r="A105" s="55"/>
    </row>
    <row r="106" spans="1:1" ht="14.25" customHeight="1">
      <c r="A106" s="55"/>
    </row>
    <row r="107" spans="1:1" ht="14.25" customHeight="1">
      <c r="A107" s="55"/>
    </row>
    <row r="108" spans="1:1" ht="14.25" customHeight="1">
      <c r="A108" s="55"/>
    </row>
    <row r="109" spans="1:1" ht="14.25" customHeight="1">
      <c r="A109" s="55"/>
    </row>
    <row r="110" spans="1:1" ht="14.25" customHeight="1">
      <c r="A110" s="55"/>
    </row>
    <row r="111" spans="1:1" ht="14.25" customHeight="1">
      <c r="A111" s="55"/>
    </row>
    <row r="112" spans="1:1" ht="14.25" customHeight="1">
      <c r="A112" s="55"/>
    </row>
    <row r="113" spans="1:1" ht="14.25" customHeight="1">
      <c r="A113" s="55"/>
    </row>
    <row r="114" spans="1:1" ht="14.25" customHeight="1">
      <c r="A114" s="55"/>
    </row>
    <row r="115" spans="1:1" ht="14.25" customHeight="1">
      <c r="A115" s="55"/>
    </row>
    <row r="116" spans="1:1" ht="14.25" customHeight="1">
      <c r="A116" s="55"/>
    </row>
    <row r="117" spans="1:1" ht="14.25" customHeight="1">
      <c r="A117" s="55"/>
    </row>
    <row r="118" spans="1:1" ht="14.25" customHeight="1">
      <c r="A118" s="55"/>
    </row>
    <row r="119" spans="1:1" ht="14.25" customHeight="1">
      <c r="A119" s="55"/>
    </row>
    <row r="120" spans="1:1" ht="14.25" customHeight="1">
      <c r="A120" s="55"/>
    </row>
    <row r="121" spans="1:1" ht="14.25" customHeight="1">
      <c r="A121" s="55"/>
    </row>
    <row r="122" spans="1:1" ht="14.25" customHeight="1">
      <c r="A122" s="55"/>
    </row>
    <row r="123" spans="1:1" ht="14.25" customHeight="1">
      <c r="A123" s="55"/>
    </row>
    <row r="124" spans="1:1" ht="14.25" customHeight="1">
      <c r="A124" s="55"/>
    </row>
    <row r="125" spans="1:1" ht="14.25" customHeight="1">
      <c r="A125" s="55"/>
    </row>
    <row r="126" spans="1:1" ht="14.25" customHeight="1">
      <c r="A126" s="55"/>
    </row>
    <row r="127" spans="1:1" ht="14.25" customHeight="1">
      <c r="A127" s="55"/>
    </row>
    <row r="128" spans="1:1" ht="14.25" customHeight="1">
      <c r="A128" s="55"/>
    </row>
    <row r="129" spans="1:1" ht="14.25" customHeight="1">
      <c r="A129" s="55"/>
    </row>
    <row r="130" spans="1:1" ht="14.25" customHeight="1">
      <c r="A130" s="55"/>
    </row>
    <row r="131" spans="1:1" ht="14.25" customHeight="1">
      <c r="A131" s="55"/>
    </row>
    <row r="132" spans="1:1" ht="14.25" customHeight="1">
      <c r="A132" s="55"/>
    </row>
    <row r="133" spans="1:1" ht="14.25" customHeight="1">
      <c r="A133" s="55"/>
    </row>
    <row r="134" spans="1:1" ht="14.25" customHeight="1">
      <c r="A134" s="55"/>
    </row>
    <row r="135" spans="1:1" ht="14.25" customHeight="1">
      <c r="A135" s="55"/>
    </row>
    <row r="136" spans="1:1" ht="14.25" customHeight="1">
      <c r="A136" s="55"/>
    </row>
    <row r="137" spans="1:1" ht="14.25" customHeight="1">
      <c r="A137" s="55"/>
    </row>
    <row r="138" spans="1:1" ht="14.25" customHeight="1">
      <c r="A138" s="55"/>
    </row>
    <row r="139" spans="1:1" ht="14.25" customHeight="1">
      <c r="A139" s="55"/>
    </row>
    <row r="140" spans="1:1" ht="14.25" customHeight="1">
      <c r="A140" s="55"/>
    </row>
    <row r="141" spans="1:1" ht="14.25" customHeight="1">
      <c r="A141" s="55"/>
    </row>
    <row r="142" spans="1:1" ht="14.25" customHeight="1">
      <c r="A142" s="55"/>
    </row>
    <row r="143" spans="1:1" ht="14.25" customHeight="1">
      <c r="A143" s="55"/>
    </row>
    <row r="144" spans="1:1" ht="14.25" customHeight="1">
      <c r="A144" s="55"/>
    </row>
    <row r="145" spans="1:1" ht="14.25" customHeight="1">
      <c r="A145" s="55"/>
    </row>
    <row r="146" spans="1:1" ht="14.25" customHeight="1">
      <c r="A146" s="55"/>
    </row>
    <row r="147" spans="1:1" ht="14.25" customHeight="1">
      <c r="A147" s="55"/>
    </row>
    <row r="148" spans="1:1" ht="14.25" customHeight="1">
      <c r="A148" s="55"/>
    </row>
    <row r="149" spans="1:1" ht="14.25" customHeight="1">
      <c r="A149" s="55"/>
    </row>
    <row r="150" spans="1:1" ht="14.25" customHeight="1">
      <c r="A150" s="55"/>
    </row>
    <row r="151" spans="1:1" ht="14.25" customHeight="1">
      <c r="A151" s="55"/>
    </row>
    <row r="152" spans="1:1" ht="14.25" customHeight="1">
      <c r="A152" s="55"/>
    </row>
    <row r="153" spans="1:1" ht="14.25" customHeight="1">
      <c r="A153" s="55"/>
    </row>
    <row r="154" spans="1:1" ht="14.25" customHeight="1">
      <c r="A154" s="55"/>
    </row>
    <row r="155" spans="1:1" ht="14.25" customHeight="1">
      <c r="A155" s="55"/>
    </row>
    <row r="156" spans="1:1" ht="14.25" customHeight="1">
      <c r="A156" s="55"/>
    </row>
    <row r="157" spans="1:1" ht="14.25" customHeight="1">
      <c r="A157" s="55"/>
    </row>
    <row r="158" spans="1:1" ht="14.25" customHeight="1">
      <c r="A158" s="55"/>
    </row>
    <row r="159" spans="1:1" ht="14.25" customHeight="1">
      <c r="A159" s="55"/>
    </row>
    <row r="160" spans="1:1" ht="14.25" customHeight="1">
      <c r="A160" s="55"/>
    </row>
    <row r="161" spans="1:1" ht="14.25" customHeight="1">
      <c r="A161" s="55"/>
    </row>
    <row r="162" spans="1:1" ht="14.25" customHeight="1">
      <c r="A162" s="55"/>
    </row>
    <row r="163" spans="1:1" ht="14.25" customHeight="1">
      <c r="A163" s="55"/>
    </row>
    <row r="164" spans="1:1" ht="14.25" customHeight="1">
      <c r="A164" s="55"/>
    </row>
    <row r="165" spans="1:1" ht="14.25" customHeight="1">
      <c r="A165" s="55"/>
    </row>
    <row r="166" spans="1:1" ht="14.25" customHeight="1">
      <c r="A166" s="55"/>
    </row>
    <row r="167" spans="1:1" ht="14.25" customHeight="1">
      <c r="A167" s="55"/>
    </row>
    <row r="168" spans="1:1" ht="14.25" customHeight="1">
      <c r="A168" s="55"/>
    </row>
    <row r="169" spans="1:1" ht="14.25" customHeight="1">
      <c r="A169" s="55"/>
    </row>
    <row r="170" spans="1:1" ht="14.25" customHeight="1">
      <c r="A170" s="55"/>
    </row>
    <row r="171" spans="1:1" ht="14.25" customHeight="1">
      <c r="A171" s="55"/>
    </row>
    <row r="172" spans="1:1" ht="14.25" customHeight="1">
      <c r="A172" s="55"/>
    </row>
    <row r="173" spans="1:1" ht="14.25" customHeight="1">
      <c r="A173" s="55"/>
    </row>
    <row r="174" spans="1:1" ht="14.25" customHeight="1">
      <c r="A174" s="55"/>
    </row>
    <row r="175" spans="1:1" ht="14.25" customHeight="1">
      <c r="A175" s="55"/>
    </row>
    <row r="176" spans="1:1" ht="14.25" customHeight="1">
      <c r="A176" s="55"/>
    </row>
    <row r="177" spans="1:1" ht="14.25" customHeight="1">
      <c r="A177" s="55"/>
    </row>
    <row r="178" spans="1:1" ht="14.25" customHeight="1">
      <c r="A178" s="55"/>
    </row>
    <row r="179" spans="1:1" ht="14.25" customHeight="1">
      <c r="A179" s="55"/>
    </row>
    <row r="180" spans="1:1" ht="14.25" customHeight="1">
      <c r="A180" s="55"/>
    </row>
    <row r="181" spans="1:1" ht="14.25" customHeight="1">
      <c r="A181" s="55"/>
    </row>
    <row r="182" spans="1:1" ht="14.25" customHeight="1">
      <c r="A182" s="55"/>
    </row>
    <row r="183" spans="1:1" ht="14.25" customHeight="1">
      <c r="A183" s="55"/>
    </row>
    <row r="184" spans="1:1" ht="14.25" customHeight="1">
      <c r="A184" s="55"/>
    </row>
    <row r="185" spans="1:1" ht="14.25" customHeight="1">
      <c r="A185" s="55"/>
    </row>
    <row r="186" spans="1:1" ht="14.25" customHeight="1">
      <c r="A186" s="55"/>
    </row>
    <row r="187" spans="1:1" ht="14.25" customHeight="1">
      <c r="A187" s="55"/>
    </row>
    <row r="188" spans="1:1" ht="14.25" customHeight="1">
      <c r="A188" s="55"/>
    </row>
    <row r="189" spans="1:1" ht="14.25" customHeight="1">
      <c r="A189" s="55"/>
    </row>
    <row r="190" spans="1:1" ht="14.25" customHeight="1">
      <c r="A190" s="55"/>
    </row>
    <row r="191" spans="1:1" ht="14.25" customHeight="1">
      <c r="A191" s="55"/>
    </row>
    <row r="192" spans="1:1" ht="14.25" customHeight="1">
      <c r="A192" s="55"/>
    </row>
    <row r="193" spans="1:1" ht="14.25" customHeight="1">
      <c r="A193" s="55"/>
    </row>
    <row r="194" spans="1:1" ht="14.25" customHeight="1">
      <c r="A194" s="55"/>
    </row>
    <row r="195" spans="1:1" ht="14.25" customHeight="1">
      <c r="A195" s="55"/>
    </row>
    <row r="196" spans="1:1" ht="14.25" customHeight="1">
      <c r="A196" s="55"/>
    </row>
    <row r="197" spans="1:1" ht="14.25" customHeight="1">
      <c r="A197" s="55"/>
    </row>
    <row r="198" spans="1:1" ht="14.25" customHeight="1">
      <c r="A198" s="55"/>
    </row>
    <row r="199" spans="1:1" ht="14.25" customHeight="1">
      <c r="A199" s="55"/>
    </row>
    <row r="200" spans="1:1" ht="14.25" customHeight="1">
      <c r="A200" s="55"/>
    </row>
    <row r="201" spans="1:1" ht="14.25" customHeight="1">
      <c r="A201" s="55"/>
    </row>
    <row r="202" spans="1:1" ht="14.25" customHeight="1">
      <c r="A202" s="55"/>
    </row>
    <row r="203" spans="1:1" ht="14.25" customHeight="1">
      <c r="A203" s="55"/>
    </row>
    <row r="204" spans="1:1" ht="14.25" customHeight="1">
      <c r="A204" s="55"/>
    </row>
    <row r="205" spans="1:1" ht="14.25" customHeight="1">
      <c r="A205" s="55"/>
    </row>
    <row r="206" spans="1:1" ht="14.25" customHeight="1">
      <c r="A206" s="55"/>
    </row>
    <row r="207" spans="1:1" ht="14.25" customHeight="1">
      <c r="A207" s="55"/>
    </row>
    <row r="208" spans="1:1" ht="14.25" customHeight="1">
      <c r="A208" s="55"/>
    </row>
    <row r="209" spans="1:1" ht="14.25" customHeight="1">
      <c r="A209" s="55"/>
    </row>
    <row r="210" spans="1:1" ht="14.25" customHeight="1">
      <c r="A210" s="55"/>
    </row>
    <row r="211" spans="1:1" ht="14.25" customHeight="1">
      <c r="A211" s="55"/>
    </row>
    <row r="212" spans="1:1" ht="14.25" customHeight="1">
      <c r="A212" s="55"/>
    </row>
    <row r="213" spans="1:1" ht="14.25" customHeight="1">
      <c r="A213" s="55"/>
    </row>
    <row r="214" spans="1:1" ht="14.25" customHeight="1">
      <c r="A214" s="55"/>
    </row>
    <row r="215" spans="1:1" ht="14.25" customHeight="1">
      <c r="A215" s="55"/>
    </row>
    <row r="216" spans="1:1" ht="14.25" customHeight="1">
      <c r="A216" s="55"/>
    </row>
    <row r="217" spans="1:1" ht="14.25" customHeight="1">
      <c r="A217" s="55"/>
    </row>
    <row r="218" spans="1:1" ht="14.25" customHeight="1">
      <c r="A218" s="55"/>
    </row>
    <row r="219" spans="1:1" ht="14.25" customHeight="1">
      <c r="A219" s="55"/>
    </row>
    <row r="220" spans="1:1" ht="14.25" customHeight="1">
      <c r="A220" s="55"/>
    </row>
    <row r="221" spans="1:1" ht="14.25" customHeight="1">
      <c r="A221" s="55"/>
    </row>
    <row r="222" spans="1:1" ht="14.25" customHeight="1">
      <c r="A222" s="55"/>
    </row>
    <row r="223" spans="1:1" ht="14.25" customHeight="1">
      <c r="A223" s="55"/>
    </row>
    <row r="224" spans="1:1" ht="14.25" customHeight="1">
      <c r="A224" s="55"/>
    </row>
    <row r="225" spans="1:1" ht="14.25" customHeight="1">
      <c r="A225" s="55"/>
    </row>
    <row r="226" spans="1:1" ht="14.25" customHeight="1">
      <c r="A226" s="55"/>
    </row>
    <row r="227" spans="1:1" ht="14.25" customHeight="1">
      <c r="A227" s="55"/>
    </row>
    <row r="228" spans="1:1" ht="14.25" customHeight="1">
      <c r="A228" s="55"/>
    </row>
    <row r="229" spans="1:1" ht="14.25" customHeight="1">
      <c r="A229" s="55"/>
    </row>
    <row r="230" spans="1:1" ht="14.25" customHeight="1">
      <c r="A230" s="55"/>
    </row>
    <row r="231" spans="1:1" ht="14.25" customHeight="1">
      <c r="A231" s="55"/>
    </row>
    <row r="232" spans="1:1" ht="14.25" customHeight="1">
      <c r="A232" s="55"/>
    </row>
    <row r="233" spans="1:1" ht="14.25" customHeight="1">
      <c r="A233" s="55"/>
    </row>
    <row r="234" spans="1:1" ht="14.25" customHeight="1">
      <c r="A234" s="55"/>
    </row>
    <row r="235" spans="1:1" ht="14.25" customHeight="1">
      <c r="A235" s="55"/>
    </row>
    <row r="236" spans="1:1" ht="14.25" customHeight="1">
      <c r="A236" s="55"/>
    </row>
    <row r="237" spans="1:1" ht="14.25" customHeight="1">
      <c r="A237" s="55"/>
    </row>
    <row r="238" spans="1:1" ht="14.25" customHeight="1">
      <c r="A238" s="55"/>
    </row>
    <row r="239" spans="1:1" ht="14.25" customHeight="1">
      <c r="A239" s="55"/>
    </row>
    <row r="240" spans="1:1" ht="14.25" customHeight="1">
      <c r="A240" s="55"/>
    </row>
    <row r="241" spans="1:1" ht="14.25" customHeight="1">
      <c r="A241" s="55"/>
    </row>
    <row r="242" spans="1:1" ht="14.25" customHeight="1">
      <c r="A242" s="55"/>
    </row>
    <row r="243" spans="1:1" ht="14.25" customHeight="1">
      <c r="A243" s="55"/>
    </row>
    <row r="244" spans="1:1" ht="14.25" customHeight="1">
      <c r="A244" s="55"/>
    </row>
    <row r="245" spans="1:1" ht="14.25" customHeight="1">
      <c r="A245" s="55"/>
    </row>
    <row r="246" spans="1:1" ht="14.25" customHeight="1">
      <c r="A246" s="55"/>
    </row>
    <row r="247" spans="1:1" ht="14.25" customHeight="1">
      <c r="A247" s="55"/>
    </row>
    <row r="248" spans="1:1" ht="14.25" customHeight="1">
      <c r="A248" s="55"/>
    </row>
    <row r="249" spans="1:1" ht="14.25" customHeight="1">
      <c r="A249" s="55"/>
    </row>
    <row r="250" spans="1:1" ht="14.25" customHeight="1">
      <c r="A250" s="55"/>
    </row>
    <row r="251" spans="1:1" ht="14.25" customHeight="1">
      <c r="A251" s="55"/>
    </row>
    <row r="252" spans="1:1" ht="14.25" customHeight="1">
      <c r="A252" s="55"/>
    </row>
    <row r="253" spans="1:1" ht="14.25" customHeight="1">
      <c r="A253" s="55"/>
    </row>
    <row r="254" spans="1:1" ht="14.25" customHeight="1">
      <c r="A254" s="55"/>
    </row>
    <row r="255" spans="1:1" ht="14.25" customHeight="1">
      <c r="A255" s="55"/>
    </row>
    <row r="256" spans="1:1" ht="14.25" customHeight="1">
      <c r="A256" s="55"/>
    </row>
    <row r="257" spans="1:1" ht="14.25" customHeight="1">
      <c r="A257" s="55"/>
    </row>
    <row r="258" spans="1:1" ht="14.25" customHeight="1">
      <c r="A258" s="55"/>
    </row>
    <row r="259" spans="1:1" ht="14.25" customHeight="1">
      <c r="A259" s="55"/>
    </row>
    <row r="260" spans="1:1" ht="14.25" customHeight="1">
      <c r="A260" s="55"/>
    </row>
    <row r="261" spans="1:1" ht="14.25" customHeight="1">
      <c r="A261" s="55"/>
    </row>
    <row r="262" spans="1:1" ht="14.25" customHeight="1">
      <c r="A262" s="55"/>
    </row>
    <row r="263" spans="1:1" ht="14.25" customHeight="1">
      <c r="A263" s="55"/>
    </row>
    <row r="264" spans="1:1" ht="14.25" customHeight="1">
      <c r="A264" s="55"/>
    </row>
    <row r="265" spans="1:1" ht="14.25" customHeight="1">
      <c r="A265" s="55"/>
    </row>
    <row r="266" spans="1:1" ht="14.25" customHeight="1">
      <c r="A266" s="55"/>
    </row>
    <row r="267" spans="1:1" ht="14.25" customHeight="1">
      <c r="A267" s="55"/>
    </row>
    <row r="268" spans="1:1" ht="14.25" customHeight="1">
      <c r="A268" s="55"/>
    </row>
    <row r="269" spans="1:1" ht="14.25" customHeight="1">
      <c r="A269" s="55"/>
    </row>
    <row r="270" spans="1:1" ht="14.25" customHeight="1">
      <c r="A270" s="55"/>
    </row>
    <row r="271" spans="1:1" ht="14.25" customHeight="1">
      <c r="A271" s="55"/>
    </row>
    <row r="272" spans="1:1" ht="14.25" customHeight="1">
      <c r="A272" s="55"/>
    </row>
    <row r="273" spans="1:1" ht="14.25" customHeight="1">
      <c r="A273" s="55"/>
    </row>
    <row r="274" spans="1:1" ht="14.25" customHeight="1">
      <c r="A274" s="55"/>
    </row>
    <row r="275" spans="1:1" ht="14.25" customHeight="1">
      <c r="A275" s="55"/>
    </row>
    <row r="276" spans="1:1" ht="14.25" customHeight="1">
      <c r="A276" s="55"/>
    </row>
    <row r="277" spans="1:1" ht="14.25" customHeight="1">
      <c r="A277" s="55"/>
    </row>
    <row r="278" spans="1:1" ht="14.25" customHeight="1">
      <c r="A278" s="55"/>
    </row>
    <row r="279" spans="1:1" ht="14.25" customHeight="1">
      <c r="A279" s="55"/>
    </row>
    <row r="280" spans="1:1" ht="14.25" customHeight="1">
      <c r="A280" s="55"/>
    </row>
    <row r="281" spans="1:1" ht="14.25" customHeight="1">
      <c r="A281" s="55"/>
    </row>
    <row r="282" spans="1:1" ht="14.25" customHeight="1">
      <c r="A282" s="55"/>
    </row>
    <row r="283" spans="1:1" ht="14.25" customHeight="1">
      <c r="A283" s="55"/>
    </row>
    <row r="284" spans="1:1" ht="14.25" customHeight="1">
      <c r="A284" s="55"/>
    </row>
    <row r="285" spans="1:1" ht="14.25" customHeight="1">
      <c r="A285" s="55"/>
    </row>
    <row r="286" spans="1:1" ht="14.25" customHeight="1">
      <c r="A286" s="55"/>
    </row>
    <row r="287" spans="1:1" ht="14.25" customHeight="1">
      <c r="A287" s="55"/>
    </row>
    <row r="288" spans="1:1" ht="14.25" customHeight="1">
      <c r="A288" s="55"/>
    </row>
    <row r="289" spans="1:1" ht="14.25" customHeight="1">
      <c r="A289" s="55"/>
    </row>
    <row r="290" spans="1:1" ht="14.25" customHeight="1">
      <c r="A290" s="55"/>
    </row>
    <row r="291" spans="1:1" ht="14.25" customHeight="1">
      <c r="A291" s="55"/>
    </row>
    <row r="292" spans="1:1" ht="14.25" customHeight="1">
      <c r="A292" s="55"/>
    </row>
    <row r="293" spans="1:1" ht="14.25" customHeight="1">
      <c r="A293" s="55"/>
    </row>
    <row r="294" spans="1:1" ht="14.25" customHeight="1">
      <c r="A294" s="55"/>
    </row>
    <row r="295" spans="1:1" ht="14.25" customHeight="1">
      <c r="A295" s="55"/>
    </row>
    <row r="296" spans="1:1" ht="14.25" customHeight="1">
      <c r="A296" s="55"/>
    </row>
    <row r="297" spans="1:1" ht="14.25" customHeight="1">
      <c r="A297" s="55"/>
    </row>
    <row r="298" spans="1:1" ht="14.25" customHeight="1">
      <c r="A298" s="55"/>
    </row>
    <row r="299" spans="1:1" ht="14.25" customHeight="1">
      <c r="A299" s="55"/>
    </row>
    <row r="300" spans="1:1" ht="14.25" customHeight="1">
      <c r="A300" s="55"/>
    </row>
    <row r="301" spans="1:1" ht="14.25" customHeight="1">
      <c r="A301" s="55"/>
    </row>
    <row r="302" spans="1:1" ht="14.25" customHeight="1">
      <c r="A302" s="55"/>
    </row>
    <row r="303" spans="1:1" ht="14.25" customHeight="1">
      <c r="A303" s="55"/>
    </row>
    <row r="304" spans="1:1" ht="14.25" customHeight="1">
      <c r="A304" s="55"/>
    </row>
    <row r="305" spans="1:1" ht="14.25" customHeight="1">
      <c r="A305" s="55"/>
    </row>
    <row r="306" spans="1:1" ht="14.25" customHeight="1">
      <c r="A306" s="55"/>
    </row>
    <row r="307" spans="1:1" ht="14.25" customHeight="1">
      <c r="A307" s="55"/>
    </row>
    <row r="308" spans="1:1" ht="14.25" customHeight="1">
      <c r="A308" s="55"/>
    </row>
    <row r="309" spans="1:1" ht="14.25" customHeight="1">
      <c r="A309" s="55"/>
    </row>
    <row r="310" spans="1:1" ht="14.25" customHeight="1">
      <c r="A310" s="55"/>
    </row>
    <row r="311" spans="1:1" ht="14.25" customHeight="1">
      <c r="A311" s="55"/>
    </row>
    <row r="312" spans="1:1" ht="14.25" customHeight="1">
      <c r="A312" s="55"/>
    </row>
    <row r="313" spans="1:1" ht="14.25" customHeight="1">
      <c r="A313" s="55"/>
    </row>
    <row r="314" spans="1:1" ht="14.25" customHeight="1">
      <c r="A314" s="55"/>
    </row>
    <row r="315" spans="1:1" ht="14.25" customHeight="1">
      <c r="A315" s="55"/>
    </row>
    <row r="316" spans="1:1" ht="14.25" customHeight="1">
      <c r="A316" s="55"/>
    </row>
    <row r="317" spans="1:1" ht="14.25" customHeight="1">
      <c r="A317" s="55"/>
    </row>
    <row r="318" spans="1:1" ht="14.25" customHeight="1">
      <c r="A318" s="55"/>
    </row>
    <row r="319" spans="1:1" ht="14.25" customHeight="1">
      <c r="A319" s="55"/>
    </row>
    <row r="320" spans="1:1" ht="14.25" customHeight="1">
      <c r="A320" s="55"/>
    </row>
    <row r="321" spans="1:1" ht="14.25" customHeight="1">
      <c r="A321" s="55"/>
    </row>
    <row r="322" spans="1:1" ht="14.25" customHeight="1">
      <c r="A322" s="55"/>
    </row>
    <row r="323" spans="1:1" ht="14.25" customHeight="1">
      <c r="A323" s="55"/>
    </row>
    <row r="324" spans="1:1" ht="14.25" customHeight="1">
      <c r="A324" s="55"/>
    </row>
    <row r="325" spans="1:1" ht="14.25" customHeight="1">
      <c r="A325" s="55"/>
    </row>
    <row r="326" spans="1:1" ht="14.25" customHeight="1">
      <c r="A326" s="55"/>
    </row>
    <row r="327" spans="1:1" ht="14.25" customHeight="1">
      <c r="A327" s="55"/>
    </row>
    <row r="328" spans="1:1" ht="14.25" customHeight="1">
      <c r="A328" s="55"/>
    </row>
    <row r="329" spans="1:1" ht="14.25" customHeight="1">
      <c r="A329" s="55"/>
    </row>
    <row r="330" spans="1:1" ht="14.25" customHeight="1">
      <c r="A330" s="55"/>
    </row>
    <row r="331" spans="1:1" ht="14.25" customHeight="1">
      <c r="A331" s="55"/>
    </row>
    <row r="332" spans="1:1" ht="14.25" customHeight="1">
      <c r="A332" s="55"/>
    </row>
    <row r="333" spans="1:1" ht="14.25" customHeight="1">
      <c r="A333" s="55"/>
    </row>
    <row r="334" spans="1:1" ht="14.25" customHeight="1">
      <c r="A334" s="55"/>
    </row>
    <row r="335" spans="1:1" ht="14.25" customHeight="1">
      <c r="A335" s="55"/>
    </row>
    <row r="336" spans="1:1" ht="14.25" customHeight="1">
      <c r="A336" s="55"/>
    </row>
    <row r="337" spans="1:1" ht="14.25" customHeight="1">
      <c r="A337" s="55"/>
    </row>
    <row r="338" spans="1:1" ht="14.25" customHeight="1">
      <c r="A338" s="55"/>
    </row>
    <row r="339" spans="1:1" ht="14.25" customHeight="1">
      <c r="A339" s="55"/>
    </row>
    <row r="340" spans="1:1" ht="14.25" customHeight="1">
      <c r="A340" s="55"/>
    </row>
    <row r="341" spans="1:1" ht="14.25" customHeight="1">
      <c r="A341" s="55"/>
    </row>
    <row r="342" spans="1:1" ht="14.25" customHeight="1">
      <c r="A342" s="55"/>
    </row>
    <row r="343" spans="1:1" ht="14.25" customHeight="1">
      <c r="A343" s="55"/>
    </row>
    <row r="344" spans="1:1" ht="14.25" customHeight="1">
      <c r="A344" s="55"/>
    </row>
    <row r="345" spans="1:1" ht="14.25" customHeight="1">
      <c r="A345" s="55"/>
    </row>
    <row r="346" spans="1:1" ht="14.25" customHeight="1">
      <c r="A346" s="55"/>
    </row>
    <row r="347" spans="1:1" ht="14.25" customHeight="1">
      <c r="A347" s="55"/>
    </row>
    <row r="348" spans="1:1" ht="14.25" customHeight="1">
      <c r="A348" s="55"/>
    </row>
    <row r="349" spans="1:1" ht="14.25" customHeight="1">
      <c r="A349" s="55"/>
    </row>
    <row r="350" spans="1:1" ht="14.25" customHeight="1">
      <c r="A350" s="55"/>
    </row>
    <row r="351" spans="1:1" ht="14.25" customHeight="1">
      <c r="A351" s="55"/>
    </row>
    <row r="352" spans="1:1" ht="14.25" customHeight="1">
      <c r="A352" s="55"/>
    </row>
    <row r="353" spans="1:1" ht="14.25" customHeight="1">
      <c r="A353" s="55"/>
    </row>
    <row r="354" spans="1:1" ht="14.25" customHeight="1">
      <c r="A354" s="55"/>
    </row>
    <row r="355" spans="1:1" ht="14.25" customHeight="1">
      <c r="A355" s="55"/>
    </row>
    <row r="356" spans="1:1" ht="14.25" customHeight="1">
      <c r="A356" s="55"/>
    </row>
    <row r="357" spans="1:1" ht="14.25" customHeight="1">
      <c r="A357" s="55"/>
    </row>
    <row r="358" spans="1:1" ht="14.25" customHeight="1">
      <c r="A358" s="55"/>
    </row>
    <row r="359" spans="1:1" ht="14.25" customHeight="1">
      <c r="A359" s="55"/>
    </row>
    <row r="360" spans="1:1" ht="14.25" customHeight="1">
      <c r="A360" s="55"/>
    </row>
    <row r="361" spans="1:1" ht="14.25" customHeight="1">
      <c r="A361" s="55"/>
    </row>
    <row r="362" spans="1:1" ht="14.25" customHeight="1">
      <c r="A362" s="55"/>
    </row>
    <row r="363" spans="1:1" ht="14.25" customHeight="1">
      <c r="A363" s="55"/>
    </row>
    <row r="364" spans="1:1" ht="14.25" customHeight="1">
      <c r="A364" s="55"/>
    </row>
    <row r="365" spans="1:1" ht="14.25" customHeight="1">
      <c r="A365" s="55"/>
    </row>
    <row r="366" spans="1:1" ht="14.25" customHeight="1">
      <c r="A366" s="55"/>
    </row>
    <row r="367" spans="1:1" ht="14.25" customHeight="1">
      <c r="A367" s="55"/>
    </row>
    <row r="368" spans="1:1" ht="14.25" customHeight="1">
      <c r="A368" s="55"/>
    </row>
    <row r="369" spans="1:1" ht="14.25" customHeight="1">
      <c r="A369" s="55"/>
    </row>
    <row r="370" spans="1:1" ht="14.25" customHeight="1">
      <c r="A370" s="55"/>
    </row>
    <row r="371" spans="1:1" ht="14.25" customHeight="1">
      <c r="A371" s="55"/>
    </row>
    <row r="372" spans="1:1" ht="14.25" customHeight="1">
      <c r="A372" s="55"/>
    </row>
    <row r="373" spans="1:1" ht="14.25" customHeight="1">
      <c r="A373" s="55"/>
    </row>
    <row r="374" spans="1:1" ht="14.25" customHeight="1">
      <c r="A374" s="55"/>
    </row>
    <row r="375" spans="1:1" ht="14.25" customHeight="1">
      <c r="A375" s="55"/>
    </row>
    <row r="376" spans="1:1" ht="14.25" customHeight="1">
      <c r="A376" s="55"/>
    </row>
    <row r="377" spans="1:1" ht="14.25" customHeight="1">
      <c r="A377" s="55"/>
    </row>
    <row r="378" spans="1:1" ht="14.25" customHeight="1">
      <c r="A378" s="55"/>
    </row>
    <row r="379" spans="1:1" ht="14.25" customHeight="1">
      <c r="A379" s="55"/>
    </row>
    <row r="380" spans="1:1" ht="14.25" customHeight="1">
      <c r="A380" s="55"/>
    </row>
    <row r="381" spans="1:1" ht="14.25" customHeight="1">
      <c r="A381" s="55"/>
    </row>
    <row r="382" spans="1:1" ht="14.25" customHeight="1">
      <c r="A382" s="55"/>
    </row>
    <row r="383" spans="1:1" ht="14.25" customHeight="1">
      <c r="A383" s="55"/>
    </row>
    <row r="384" spans="1:1" ht="14.25" customHeight="1">
      <c r="A384" s="55"/>
    </row>
    <row r="385" spans="1:1" ht="14.25" customHeight="1">
      <c r="A385" s="55"/>
    </row>
    <row r="386" spans="1:1" ht="14.25" customHeight="1">
      <c r="A386" s="55"/>
    </row>
    <row r="387" spans="1:1" ht="14.25" customHeight="1">
      <c r="A387" s="55"/>
    </row>
    <row r="388" spans="1:1" ht="14.25" customHeight="1">
      <c r="A388" s="55"/>
    </row>
    <row r="389" spans="1:1" ht="14.25" customHeight="1">
      <c r="A389" s="55"/>
    </row>
    <row r="390" spans="1:1" ht="14.25" customHeight="1">
      <c r="A390" s="55"/>
    </row>
    <row r="391" spans="1:1" ht="14.25" customHeight="1">
      <c r="A391" s="55"/>
    </row>
    <row r="392" spans="1:1" ht="14.25" customHeight="1">
      <c r="A392" s="55"/>
    </row>
    <row r="393" spans="1:1" ht="14.25" customHeight="1">
      <c r="A393" s="55"/>
    </row>
    <row r="394" spans="1:1" ht="14.25" customHeight="1">
      <c r="A394" s="55"/>
    </row>
    <row r="395" spans="1:1" ht="14.25" customHeight="1">
      <c r="A395" s="55"/>
    </row>
    <row r="396" spans="1:1" ht="14.25" customHeight="1">
      <c r="A396" s="55"/>
    </row>
    <row r="397" spans="1:1" ht="14.25" customHeight="1">
      <c r="A397" s="55"/>
    </row>
    <row r="398" spans="1:1" ht="14.25" customHeight="1">
      <c r="A398" s="55"/>
    </row>
    <row r="399" spans="1:1" ht="14.25" customHeight="1">
      <c r="A399" s="55"/>
    </row>
    <row r="400" spans="1:1" ht="14.25" customHeight="1">
      <c r="A400" s="55"/>
    </row>
    <row r="401" spans="1:1" ht="14.25" customHeight="1">
      <c r="A401" s="55"/>
    </row>
    <row r="402" spans="1:1" ht="14.25" customHeight="1">
      <c r="A402" s="55"/>
    </row>
    <row r="403" spans="1:1" ht="14.25" customHeight="1">
      <c r="A403" s="55"/>
    </row>
    <row r="404" spans="1:1" ht="14.25" customHeight="1">
      <c r="A404" s="55"/>
    </row>
    <row r="405" spans="1:1" ht="14.25" customHeight="1">
      <c r="A405" s="55"/>
    </row>
    <row r="406" spans="1:1" ht="14.25" customHeight="1">
      <c r="A406" s="55"/>
    </row>
    <row r="407" spans="1:1" ht="14.25" customHeight="1">
      <c r="A407" s="55"/>
    </row>
    <row r="408" spans="1:1" ht="14.25" customHeight="1">
      <c r="A408" s="55"/>
    </row>
    <row r="409" spans="1:1" ht="14.25" customHeight="1">
      <c r="A409" s="55"/>
    </row>
    <row r="410" spans="1:1" ht="14.25" customHeight="1">
      <c r="A410" s="55"/>
    </row>
    <row r="411" spans="1:1" ht="14.25" customHeight="1">
      <c r="A411" s="55"/>
    </row>
    <row r="412" spans="1:1" ht="14.25" customHeight="1">
      <c r="A412" s="55"/>
    </row>
    <row r="413" spans="1:1" ht="14.25" customHeight="1">
      <c r="A413" s="55"/>
    </row>
    <row r="414" spans="1:1" ht="14.25" customHeight="1">
      <c r="A414" s="55"/>
    </row>
    <row r="415" spans="1:1" ht="14.25" customHeight="1">
      <c r="A415" s="55"/>
    </row>
    <row r="416" spans="1:1" ht="14.25" customHeight="1">
      <c r="A416" s="55"/>
    </row>
    <row r="417" spans="1:1" ht="14.25" customHeight="1">
      <c r="A417" s="55"/>
    </row>
    <row r="418" spans="1:1" ht="14.25" customHeight="1">
      <c r="A418" s="55"/>
    </row>
    <row r="419" spans="1:1" ht="14.25" customHeight="1">
      <c r="A419" s="55"/>
    </row>
    <row r="420" spans="1:1" ht="14.25" customHeight="1">
      <c r="A420" s="55"/>
    </row>
    <row r="421" spans="1:1" ht="14.25" customHeight="1">
      <c r="A421" s="55"/>
    </row>
    <row r="422" spans="1:1" ht="14.25" customHeight="1">
      <c r="A422" s="55"/>
    </row>
    <row r="423" spans="1:1" ht="14.25" customHeight="1">
      <c r="A423" s="55"/>
    </row>
    <row r="424" spans="1:1" ht="14.25" customHeight="1">
      <c r="A424" s="55"/>
    </row>
    <row r="425" spans="1:1" ht="14.25" customHeight="1">
      <c r="A425" s="55"/>
    </row>
    <row r="426" spans="1:1" ht="14.25" customHeight="1">
      <c r="A426" s="55"/>
    </row>
    <row r="427" spans="1:1" ht="14.25" customHeight="1">
      <c r="A427" s="55"/>
    </row>
    <row r="428" spans="1:1" ht="14.25" customHeight="1">
      <c r="A428" s="55"/>
    </row>
    <row r="429" spans="1:1" ht="14.25" customHeight="1">
      <c r="A429" s="55"/>
    </row>
    <row r="430" spans="1:1" ht="14.25" customHeight="1">
      <c r="A430" s="55"/>
    </row>
    <row r="431" spans="1:1" ht="14.25" customHeight="1">
      <c r="A431" s="55"/>
    </row>
    <row r="432" spans="1:1" ht="14.25" customHeight="1">
      <c r="A432" s="55"/>
    </row>
    <row r="433" spans="1:1" ht="14.25" customHeight="1">
      <c r="A433" s="55"/>
    </row>
    <row r="434" spans="1:1" ht="14.25" customHeight="1">
      <c r="A434" s="55"/>
    </row>
    <row r="435" spans="1:1" ht="14.25" customHeight="1">
      <c r="A435" s="55"/>
    </row>
    <row r="436" spans="1:1" ht="14.25" customHeight="1">
      <c r="A436" s="55"/>
    </row>
    <row r="437" spans="1:1" ht="14.25" customHeight="1">
      <c r="A437" s="55"/>
    </row>
    <row r="438" spans="1:1" ht="14.25" customHeight="1">
      <c r="A438" s="55"/>
    </row>
    <row r="439" spans="1:1" ht="14.25" customHeight="1">
      <c r="A439" s="55"/>
    </row>
    <row r="440" spans="1:1" ht="14.25" customHeight="1">
      <c r="A440" s="55"/>
    </row>
    <row r="441" spans="1:1" ht="14.25" customHeight="1">
      <c r="A441" s="55"/>
    </row>
    <row r="442" spans="1:1" ht="14.25" customHeight="1">
      <c r="A442" s="55"/>
    </row>
    <row r="443" spans="1:1" ht="14.25" customHeight="1">
      <c r="A443" s="55"/>
    </row>
    <row r="444" spans="1:1" ht="14.25" customHeight="1">
      <c r="A444" s="55"/>
    </row>
    <row r="445" spans="1:1" ht="14.25" customHeight="1">
      <c r="A445" s="55"/>
    </row>
    <row r="446" spans="1:1" ht="14.25" customHeight="1">
      <c r="A446" s="55"/>
    </row>
    <row r="447" spans="1:1" ht="14.25" customHeight="1">
      <c r="A447" s="55"/>
    </row>
    <row r="448" spans="1:1" ht="14.25" customHeight="1">
      <c r="A448" s="55"/>
    </row>
    <row r="449" spans="1:1" ht="14.25" customHeight="1">
      <c r="A449" s="55"/>
    </row>
    <row r="450" spans="1:1" ht="14.25" customHeight="1">
      <c r="A450" s="55"/>
    </row>
    <row r="451" spans="1:1" ht="14.25" customHeight="1">
      <c r="A451" s="55"/>
    </row>
    <row r="452" spans="1:1" ht="14.25" customHeight="1">
      <c r="A452" s="55"/>
    </row>
    <row r="453" spans="1:1" ht="14.25" customHeight="1">
      <c r="A453" s="55"/>
    </row>
    <row r="454" spans="1:1" ht="14.25" customHeight="1">
      <c r="A454" s="55"/>
    </row>
    <row r="455" spans="1:1" ht="14.25" customHeight="1">
      <c r="A455" s="55"/>
    </row>
    <row r="456" spans="1:1" ht="14.25" customHeight="1">
      <c r="A456" s="55"/>
    </row>
    <row r="457" spans="1:1" ht="14.25" customHeight="1">
      <c r="A457" s="55"/>
    </row>
    <row r="458" spans="1:1" ht="14.25" customHeight="1">
      <c r="A458" s="55"/>
    </row>
    <row r="459" spans="1:1" ht="14.25" customHeight="1">
      <c r="A459" s="55"/>
    </row>
    <row r="460" spans="1:1" ht="14.25" customHeight="1">
      <c r="A460" s="55"/>
    </row>
    <row r="461" spans="1:1" ht="14.25" customHeight="1">
      <c r="A461" s="55"/>
    </row>
    <row r="462" spans="1:1" ht="14.25" customHeight="1">
      <c r="A462" s="55"/>
    </row>
    <row r="463" spans="1:1" ht="14.25" customHeight="1">
      <c r="A463" s="55"/>
    </row>
    <row r="464" spans="1:1" ht="14.25" customHeight="1">
      <c r="A464" s="55"/>
    </row>
    <row r="465" spans="1:1" ht="14.25" customHeight="1">
      <c r="A465" s="55"/>
    </row>
    <row r="466" spans="1:1" ht="14.25" customHeight="1">
      <c r="A466" s="55"/>
    </row>
    <row r="467" spans="1:1" ht="14.25" customHeight="1">
      <c r="A467" s="55"/>
    </row>
    <row r="468" spans="1:1" ht="14.25" customHeight="1">
      <c r="A468" s="55"/>
    </row>
    <row r="469" spans="1:1" ht="14.25" customHeight="1">
      <c r="A469" s="55"/>
    </row>
    <row r="470" spans="1:1" ht="14.25" customHeight="1">
      <c r="A470" s="55"/>
    </row>
    <row r="471" spans="1:1" ht="14.25" customHeight="1">
      <c r="A471" s="55"/>
    </row>
    <row r="472" spans="1:1" ht="14.25" customHeight="1">
      <c r="A472" s="55"/>
    </row>
    <row r="473" spans="1:1" ht="14.25" customHeight="1">
      <c r="A473" s="55"/>
    </row>
    <row r="474" spans="1:1" ht="14.25" customHeight="1">
      <c r="A474" s="55"/>
    </row>
    <row r="475" spans="1:1" ht="14.25" customHeight="1">
      <c r="A475" s="55"/>
    </row>
    <row r="476" spans="1:1" ht="14.25" customHeight="1">
      <c r="A476" s="55"/>
    </row>
    <row r="477" spans="1:1" ht="14.25" customHeight="1">
      <c r="A477" s="55"/>
    </row>
    <row r="478" spans="1:1" ht="14.25" customHeight="1">
      <c r="A478" s="55"/>
    </row>
    <row r="479" spans="1:1" ht="14.25" customHeight="1">
      <c r="A479" s="55"/>
    </row>
    <row r="480" spans="1:1" ht="14.25" customHeight="1">
      <c r="A480" s="55"/>
    </row>
    <row r="481" spans="1:1" ht="14.25" customHeight="1">
      <c r="A481" s="55"/>
    </row>
    <row r="482" spans="1:1" ht="14.25" customHeight="1">
      <c r="A482" s="55"/>
    </row>
    <row r="483" spans="1:1" ht="14.25" customHeight="1">
      <c r="A483" s="55"/>
    </row>
    <row r="484" spans="1:1" ht="14.25" customHeight="1">
      <c r="A484" s="55"/>
    </row>
    <row r="485" spans="1:1" ht="14.25" customHeight="1">
      <c r="A485" s="55"/>
    </row>
    <row r="486" spans="1:1" ht="14.25" customHeight="1">
      <c r="A486" s="55"/>
    </row>
    <row r="487" spans="1:1" ht="14.25" customHeight="1">
      <c r="A487" s="55"/>
    </row>
    <row r="488" spans="1:1" ht="14.25" customHeight="1">
      <c r="A488" s="55"/>
    </row>
    <row r="489" spans="1:1" ht="14.25" customHeight="1">
      <c r="A489" s="55"/>
    </row>
    <row r="490" spans="1:1" ht="14.25" customHeight="1">
      <c r="A490" s="55"/>
    </row>
    <row r="491" spans="1:1" ht="14.25" customHeight="1">
      <c r="A491" s="55"/>
    </row>
    <row r="492" spans="1:1" ht="14.25" customHeight="1">
      <c r="A492" s="55"/>
    </row>
    <row r="493" spans="1:1" ht="14.25" customHeight="1">
      <c r="A493" s="55"/>
    </row>
    <row r="494" spans="1:1" ht="14.25" customHeight="1">
      <c r="A494" s="55"/>
    </row>
    <row r="495" spans="1:1" ht="14.25" customHeight="1">
      <c r="A495" s="55"/>
    </row>
    <row r="496" spans="1:1" ht="14.25" customHeight="1">
      <c r="A496" s="55"/>
    </row>
    <row r="497" spans="1:1" ht="14.25" customHeight="1">
      <c r="A497" s="55"/>
    </row>
    <row r="498" spans="1:1" ht="14.25" customHeight="1">
      <c r="A498" s="55"/>
    </row>
    <row r="499" spans="1:1" ht="14.25" customHeight="1">
      <c r="A499" s="55"/>
    </row>
    <row r="500" spans="1:1" ht="14.25" customHeight="1">
      <c r="A500" s="55"/>
    </row>
    <row r="501" spans="1:1" ht="14.25" customHeight="1">
      <c r="A501" s="55"/>
    </row>
    <row r="502" spans="1:1" ht="14.25" customHeight="1">
      <c r="A502" s="55"/>
    </row>
    <row r="503" spans="1:1" ht="14.25" customHeight="1">
      <c r="A503" s="55"/>
    </row>
    <row r="504" spans="1:1" ht="14.25" customHeight="1">
      <c r="A504" s="55"/>
    </row>
    <row r="505" spans="1:1" ht="14.25" customHeight="1">
      <c r="A505" s="55"/>
    </row>
    <row r="506" spans="1:1" ht="14.25" customHeight="1">
      <c r="A506" s="55"/>
    </row>
    <row r="507" spans="1:1" ht="14.25" customHeight="1">
      <c r="A507" s="55"/>
    </row>
    <row r="508" spans="1:1" ht="14.25" customHeight="1">
      <c r="A508" s="55"/>
    </row>
    <row r="509" spans="1:1" ht="14.25" customHeight="1">
      <c r="A509" s="55"/>
    </row>
    <row r="510" spans="1:1" ht="14.25" customHeight="1">
      <c r="A510" s="55"/>
    </row>
    <row r="511" spans="1:1" ht="14.25" customHeight="1">
      <c r="A511" s="55"/>
    </row>
    <row r="512" spans="1:1" ht="14.25" customHeight="1">
      <c r="A512" s="55"/>
    </row>
    <row r="513" spans="1:1" ht="14.25" customHeight="1">
      <c r="A513" s="55"/>
    </row>
    <row r="514" spans="1:1" ht="14.25" customHeight="1">
      <c r="A514" s="55"/>
    </row>
    <row r="515" spans="1:1" ht="14.25" customHeight="1">
      <c r="A515" s="55"/>
    </row>
    <row r="516" spans="1:1" ht="14.25" customHeight="1">
      <c r="A516" s="55"/>
    </row>
    <row r="517" spans="1:1" ht="14.25" customHeight="1">
      <c r="A517" s="55"/>
    </row>
    <row r="518" spans="1:1" ht="14.25" customHeight="1">
      <c r="A518" s="55"/>
    </row>
    <row r="519" spans="1:1" ht="14.25" customHeight="1">
      <c r="A519" s="55"/>
    </row>
    <row r="520" spans="1:1" ht="14.25" customHeight="1">
      <c r="A520" s="55"/>
    </row>
    <row r="521" spans="1:1" ht="14.25" customHeight="1">
      <c r="A521" s="55"/>
    </row>
    <row r="522" spans="1:1" ht="14.25" customHeight="1">
      <c r="A522" s="55"/>
    </row>
    <row r="523" spans="1:1" ht="14.25" customHeight="1">
      <c r="A523" s="55"/>
    </row>
    <row r="524" spans="1:1" ht="14.25" customHeight="1">
      <c r="A524" s="55"/>
    </row>
    <row r="525" spans="1:1" ht="14.25" customHeight="1">
      <c r="A525" s="55"/>
    </row>
    <row r="526" spans="1:1" ht="14.25" customHeight="1">
      <c r="A526" s="55"/>
    </row>
    <row r="527" spans="1:1" ht="14.25" customHeight="1">
      <c r="A527" s="55"/>
    </row>
    <row r="528" spans="1:1" ht="14.25" customHeight="1">
      <c r="A528" s="55"/>
    </row>
    <row r="529" spans="1:1" ht="14.25" customHeight="1">
      <c r="A529" s="55"/>
    </row>
    <row r="530" spans="1:1" ht="14.25" customHeight="1">
      <c r="A530" s="55"/>
    </row>
    <row r="531" spans="1:1" ht="14.25" customHeight="1">
      <c r="A531" s="55"/>
    </row>
    <row r="532" spans="1:1" ht="14.25" customHeight="1">
      <c r="A532" s="55"/>
    </row>
    <row r="533" spans="1:1" ht="14.25" customHeight="1">
      <c r="A533" s="55"/>
    </row>
    <row r="534" spans="1:1" ht="14.25" customHeight="1">
      <c r="A534" s="55"/>
    </row>
    <row r="535" spans="1:1" ht="14.25" customHeight="1">
      <c r="A535" s="55"/>
    </row>
    <row r="536" spans="1:1" ht="14.25" customHeight="1">
      <c r="A536" s="55"/>
    </row>
    <row r="537" spans="1:1" ht="14.25" customHeight="1">
      <c r="A537" s="55"/>
    </row>
    <row r="538" spans="1:1" ht="14.25" customHeight="1">
      <c r="A538" s="55"/>
    </row>
    <row r="539" spans="1:1" ht="14.25" customHeight="1">
      <c r="A539" s="55"/>
    </row>
    <row r="540" spans="1:1" ht="14.25" customHeight="1">
      <c r="A540" s="55"/>
    </row>
    <row r="541" spans="1:1" ht="14.25" customHeight="1">
      <c r="A541" s="55"/>
    </row>
    <row r="542" spans="1:1" ht="14.25" customHeight="1">
      <c r="A542" s="55"/>
    </row>
    <row r="543" spans="1:1" ht="14.25" customHeight="1">
      <c r="A543" s="55"/>
    </row>
    <row r="544" spans="1:1" ht="14.25" customHeight="1">
      <c r="A544" s="55"/>
    </row>
    <row r="545" spans="1:1" ht="14.25" customHeight="1">
      <c r="A545" s="55"/>
    </row>
    <row r="546" spans="1:1" ht="14.25" customHeight="1">
      <c r="A546" s="55"/>
    </row>
    <row r="547" spans="1:1" ht="14.25" customHeight="1">
      <c r="A547" s="55"/>
    </row>
    <row r="548" spans="1:1" ht="14.25" customHeight="1">
      <c r="A548" s="55"/>
    </row>
    <row r="549" spans="1:1" ht="14.25" customHeight="1">
      <c r="A549" s="55"/>
    </row>
    <row r="550" spans="1:1" ht="14.25" customHeight="1">
      <c r="A550" s="55"/>
    </row>
    <row r="551" spans="1:1" ht="14.25" customHeight="1">
      <c r="A551" s="55"/>
    </row>
    <row r="552" spans="1:1" ht="14.25" customHeight="1">
      <c r="A552" s="55"/>
    </row>
    <row r="553" spans="1:1" ht="14.25" customHeight="1">
      <c r="A553" s="55"/>
    </row>
    <row r="554" spans="1:1" ht="14.25" customHeight="1">
      <c r="A554" s="55"/>
    </row>
    <row r="555" spans="1:1" ht="14.25" customHeight="1">
      <c r="A555" s="55"/>
    </row>
    <row r="556" spans="1:1" ht="14.25" customHeight="1">
      <c r="A556" s="55"/>
    </row>
    <row r="557" spans="1:1" ht="14.25" customHeight="1">
      <c r="A557" s="55"/>
    </row>
    <row r="558" spans="1:1" ht="14.25" customHeight="1">
      <c r="A558" s="55"/>
    </row>
    <row r="559" spans="1:1" ht="14.25" customHeight="1">
      <c r="A559" s="55"/>
    </row>
    <row r="560" spans="1:1" ht="14.25" customHeight="1">
      <c r="A560" s="55"/>
    </row>
    <row r="561" spans="1:1" ht="14.25" customHeight="1">
      <c r="A561" s="55"/>
    </row>
    <row r="562" spans="1:1" ht="14.25" customHeight="1">
      <c r="A562" s="55"/>
    </row>
    <row r="563" spans="1:1" ht="14.25" customHeight="1">
      <c r="A563" s="55"/>
    </row>
    <row r="564" spans="1:1" ht="14.25" customHeight="1">
      <c r="A564" s="55"/>
    </row>
    <row r="565" spans="1:1" ht="14.25" customHeight="1">
      <c r="A565" s="55"/>
    </row>
    <row r="566" spans="1:1" ht="14.25" customHeight="1">
      <c r="A566" s="55"/>
    </row>
    <row r="567" spans="1:1" ht="14.25" customHeight="1">
      <c r="A567" s="55"/>
    </row>
    <row r="568" spans="1:1" ht="14.25" customHeight="1">
      <c r="A568" s="55"/>
    </row>
    <row r="569" spans="1:1" ht="14.25" customHeight="1">
      <c r="A569" s="55"/>
    </row>
    <row r="570" spans="1:1" ht="14.25" customHeight="1">
      <c r="A570" s="55"/>
    </row>
    <row r="571" spans="1:1" ht="14.25" customHeight="1">
      <c r="A571" s="55"/>
    </row>
    <row r="572" spans="1:1" ht="14.25" customHeight="1">
      <c r="A572" s="55"/>
    </row>
    <row r="573" spans="1:1" ht="14.25" customHeight="1">
      <c r="A573" s="55"/>
    </row>
    <row r="574" spans="1:1" ht="14.25" customHeight="1">
      <c r="A574" s="55"/>
    </row>
    <row r="575" spans="1:1" ht="14.25" customHeight="1">
      <c r="A575" s="55"/>
    </row>
    <row r="576" spans="1:1" ht="14.25" customHeight="1">
      <c r="A576" s="55"/>
    </row>
    <row r="577" spans="1:1" ht="14.25" customHeight="1">
      <c r="A577" s="55"/>
    </row>
    <row r="578" spans="1:1" ht="14.25" customHeight="1">
      <c r="A578" s="55"/>
    </row>
    <row r="579" spans="1:1" ht="14.25" customHeight="1">
      <c r="A579" s="55"/>
    </row>
    <row r="580" spans="1:1" ht="14.25" customHeight="1">
      <c r="A580" s="55"/>
    </row>
    <row r="581" spans="1:1" ht="14.25" customHeight="1">
      <c r="A581" s="55"/>
    </row>
    <row r="582" spans="1:1" ht="14.25" customHeight="1">
      <c r="A582" s="55"/>
    </row>
    <row r="583" spans="1:1" ht="14.25" customHeight="1">
      <c r="A583" s="55"/>
    </row>
    <row r="584" spans="1:1" ht="14.25" customHeight="1">
      <c r="A584" s="55"/>
    </row>
    <row r="585" spans="1:1" ht="14.25" customHeight="1">
      <c r="A585" s="55"/>
    </row>
    <row r="586" spans="1:1" ht="14.25" customHeight="1">
      <c r="A586" s="55"/>
    </row>
    <row r="587" spans="1:1" ht="14.25" customHeight="1">
      <c r="A587" s="55"/>
    </row>
    <row r="588" spans="1:1" ht="14.25" customHeight="1">
      <c r="A588" s="55"/>
    </row>
    <row r="589" spans="1:1" ht="14.25" customHeight="1">
      <c r="A589" s="55"/>
    </row>
    <row r="590" spans="1:1" ht="14.25" customHeight="1">
      <c r="A590" s="55"/>
    </row>
    <row r="591" spans="1:1" ht="14.25" customHeight="1">
      <c r="A591" s="55"/>
    </row>
    <row r="592" spans="1:1" ht="14.25" customHeight="1">
      <c r="A592" s="55"/>
    </row>
    <row r="593" spans="1:1" ht="14.25" customHeight="1">
      <c r="A593" s="55"/>
    </row>
    <row r="594" spans="1:1" ht="14.25" customHeight="1">
      <c r="A594" s="55"/>
    </row>
    <row r="595" spans="1:1" ht="14.25" customHeight="1">
      <c r="A595" s="55"/>
    </row>
    <row r="596" spans="1:1" ht="14.25" customHeight="1">
      <c r="A596" s="55"/>
    </row>
    <row r="597" spans="1:1" ht="14.25" customHeight="1">
      <c r="A597" s="55"/>
    </row>
    <row r="598" spans="1:1" ht="14.25" customHeight="1">
      <c r="A598" s="55"/>
    </row>
    <row r="599" spans="1:1" ht="14.25" customHeight="1">
      <c r="A599" s="55"/>
    </row>
    <row r="600" spans="1:1" ht="14.25" customHeight="1">
      <c r="A600" s="55"/>
    </row>
    <row r="601" spans="1:1" ht="14.25" customHeight="1">
      <c r="A601" s="55"/>
    </row>
    <row r="602" spans="1:1" ht="14.25" customHeight="1">
      <c r="A602" s="55"/>
    </row>
    <row r="603" spans="1:1" ht="14.25" customHeight="1">
      <c r="A603" s="55"/>
    </row>
    <row r="604" spans="1:1" ht="14.25" customHeight="1">
      <c r="A604" s="55"/>
    </row>
    <row r="605" spans="1:1" ht="14.25" customHeight="1">
      <c r="A605" s="55"/>
    </row>
    <row r="606" spans="1:1" ht="14.25" customHeight="1">
      <c r="A606" s="55"/>
    </row>
    <row r="607" spans="1:1" ht="14.25" customHeight="1">
      <c r="A607" s="55"/>
    </row>
    <row r="608" spans="1:1" ht="14.25" customHeight="1">
      <c r="A608" s="55"/>
    </row>
    <row r="609" spans="1:1" ht="14.25" customHeight="1">
      <c r="A609" s="55"/>
    </row>
    <row r="610" spans="1:1" ht="14.25" customHeight="1">
      <c r="A610" s="55"/>
    </row>
    <row r="611" spans="1:1" ht="14.25" customHeight="1">
      <c r="A611" s="55"/>
    </row>
    <row r="612" spans="1:1" ht="14.25" customHeight="1">
      <c r="A612" s="55"/>
    </row>
    <row r="613" spans="1:1" ht="14.25" customHeight="1">
      <c r="A613" s="55"/>
    </row>
    <row r="614" spans="1:1" ht="14.25" customHeight="1">
      <c r="A614" s="55"/>
    </row>
    <row r="615" spans="1:1" ht="14.25" customHeight="1">
      <c r="A615" s="55"/>
    </row>
    <row r="616" spans="1:1" ht="14.25" customHeight="1">
      <c r="A616" s="55"/>
    </row>
    <row r="617" spans="1:1" ht="14.25" customHeight="1">
      <c r="A617" s="55"/>
    </row>
    <row r="618" spans="1:1" ht="14.25" customHeight="1">
      <c r="A618" s="55"/>
    </row>
    <row r="619" spans="1:1" ht="14.25" customHeight="1">
      <c r="A619" s="55"/>
    </row>
    <row r="620" spans="1:1" ht="14.25" customHeight="1">
      <c r="A620" s="55"/>
    </row>
    <row r="621" spans="1:1" ht="14.25" customHeight="1">
      <c r="A621" s="55"/>
    </row>
    <row r="622" spans="1:1" ht="14.25" customHeight="1">
      <c r="A622" s="55"/>
    </row>
    <row r="623" spans="1:1" ht="14.25" customHeight="1">
      <c r="A623" s="55"/>
    </row>
    <row r="624" spans="1:1" ht="14.25" customHeight="1">
      <c r="A624" s="55"/>
    </row>
    <row r="625" spans="1:1" ht="14.25" customHeight="1">
      <c r="A625" s="55"/>
    </row>
    <row r="626" spans="1:1" ht="14.25" customHeight="1">
      <c r="A626" s="55"/>
    </row>
    <row r="627" spans="1:1" ht="14.25" customHeight="1">
      <c r="A627" s="55"/>
    </row>
    <row r="628" spans="1:1" ht="14.25" customHeight="1">
      <c r="A628" s="55"/>
    </row>
    <row r="629" spans="1:1" ht="14.25" customHeight="1">
      <c r="A629" s="55"/>
    </row>
    <row r="630" spans="1:1" ht="14.25" customHeight="1">
      <c r="A630" s="55"/>
    </row>
    <row r="631" spans="1:1" ht="14.25" customHeight="1">
      <c r="A631" s="55"/>
    </row>
    <row r="632" spans="1:1" ht="14.25" customHeight="1">
      <c r="A632" s="55"/>
    </row>
    <row r="633" spans="1:1" ht="14.25" customHeight="1">
      <c r="A633" s="55"/>
    </row>
    <row r="634" spans="1:1" ht="14.25" customHeight="1">
      <c r="A634" s="55"/>
    </row>
    <row r="635" spans="1:1" ht="14.25" customHeight="1">
      <c r="A635" s="55"/>
    </row>
    <row r="636" spans="1:1" ht="14.25" customHeight="1">
      <c r="A636" s="55"/>
    </row>
    <row r="637" spans="1:1" ht="14.25" customHeight="1">
      <c r="A637" s="55"/>
    </row>
    <row r="638" spans="1:1" ht="14.25" customHeight="1">
      <c r="A638" s="55"/>
    </row>
    <row r="639" spans="1:1" ht="14.25" customHeight="1">
      <c r="A639" s="55"/>
    </row>
    <row r="640" spans="1:1" ht="14.25" customHeight="1">
      <c r="A640" s="55"/>
    </row>
    <row r="641" spans="1:1" ht="14.25" customHeight="1">
      <c r="A641" s="55"/>
    </row>
    <row r="642" spans="1:1" ht="14.25" customHeight="1">
      <c r="A642" s="55"/>
    </row>
    <row r="643" spans="1:1" ht="14.25" customHeight="1">
      <c r="A643" s="55"/>
    </row>
    <row r="644" spans="1:1" ht="14.25" customHeight="1">
      <c r="A644" s="55"/>
    </row>
    <row r="645" spans="1:1" ht="14.25" customHeight="1">
      <c r="A645" s="55"/>
    </row>
    <row r="646" spans="1:1" ht="14.25" customHeight="1">
      <c r="A646" s="55"/>
    </row>
    <row r="647" spans="1:1" ht="14.25" customHeight="1">
      <c r="A647" s="55"/>
    </row>
    <row r="648" spans="1:1" ht="14.25" customHeight="1">
      <c r="A648" s="55"/>
    </row>
    <row r="649" spans="1:1" ht="14.25" customHeight="1">
      <c r="A649" s="55"/>
    </row>
    <row r="650" spans="1:1" ht="14.25" customHeight="1">
      <c r="A650" s="55"/>
    </row>
    <row r="651" spans="1:1" ht="14.25" customHeight="1">
      <c r="A651" s="55"/>
    </row>
    <row r="652" spans="1:1" ht="14.25" customHeight="1">
      <c r="A652" s="55"/>
    </row>
    <row r="653" spans="1:1" ht="14.25" customHeight="1">
      <c r="A653" s="55"/>
    </row>
    <row r="654" spans="1:1" ht="14.25" customHeight="1">
      <c r="A654" s="55"/>
    </row>
    <row r="655" spans="1:1" ht="14.25" customHeight="1">
      <c r="A655" s="55"/>
    </row>
    <row r="656" spans="1:1" ht="14.25" customHeight="1">
      <c r="A656" s="55"/>
    </row>
    <row r="657" spans="1:1" ht="14.25" customHeight="1">
      <c r="A657" s="55"/>
    </row>
    <row r="658" spans="1:1" ht="14.25" customHeight="1">
      <c r="A658" s="55"/>
    </row>
    <row r="659" spans="1:1" ht="14.25" customHeight="1">
      <c r="A659" s="55"/>
    </row>
    <row r="660" spans="1:1" ht="14.25" customHeight="1">
      <c r="A660" s="55"/>
    </row>
    <row r="661" spans="1:1" ht="14.25" customHeight="1">
      <c r="A661" s="55"/>
    </row>
    <row r="662" spans="1:1" ht="14.25" customHeight="1">
      <c r="A662" s="55"/>
    </row>
    <row r="663" spans="1:1" ht="14.25" customHeight="1">
      <c r="A663" s="55"/>
    </row>
    <row r="664" spans="1:1" ht="14.25" customHeight="1">
      <c r="A664" s="55"/>
    </row>
    <row r="665" spans="1:1" ht="14.25" customHeight="1">
      <c r="A665" s="55"/>
    </row>
    <row r="666" spans="1:1" ht="14.25" customHeight="1">
      <c r="A666" s="55"/>
    </row>
    <row r="667" spans="1:1" ht="14.25" customHeight="1">
      <c r="A667" s="55"/>
    </row>
    <row r="668" spans="1:1" ht="14.25" customHeight="1">
      <c r="A668" s="55"/>
    </row>
    <row r="669" spans="1:1" ht="14.25" customHeight="1">
      <c r="A669" s="55"/>
    </row>
    <row r="670" spans="1:1" ht="14.25" customHeight="1">
      <c r="A670" s="55"/>
    </row>
    <row r="671" spans="1:1" ht="14.25" customHeight="1">
      <c r="A671" s="55"/>
    </row>
    <row r="672" spans="1:1" ht="14.25" customHeight="1">
      <c r="A672" s="55"/>
    </row>
    <row r="673" spans="1:1" ht="14.25" customHeight="1">
      <c r="A673" s="55"/>
    </row>
    <row r="674" spans="1:1" ht="14.25" customHeight="1">
      <c r="A674" s="55"/>
    </row>
    <row r="675" spans="1:1" ht="14.25" customHeight="1">
      <c r="A675" s="55"/>
    </row>
    <row r="676" spans="1:1" ht="14.25" customHeight="1">
      <c r="A676" s="55"/>
    </row>
    <row r="677" spans="1:1" ht="14.25" customHeight="1">
      <c r="A677" s="55"/>
    </row>
    <row r="678" spans="1:1" ht="14.25" customHeight="1">
      <c r="A678" s="55"/>
    </row>
    <row r="679" spans="1:1" ht="14.25" customHeight="1">
      <c r="A679" s="55"/>
    </row>
    <row r="680" spans="1:1" ht="14.25" customHeight="1">
      <c r="A680" s="55"/>
    </row>
    <row r="681" spans="1:1" ht="14.25" customHeight="1">
      <c r="A681" s="55"/>
    </row>
    <row r="682" spans="1:1" ht="14.25" customHeight="1">
      <c r="A682" s="55"/>
    </row>
    <row r="683" spans="1:1" ht="14.25" customHeight="1">
      <c r="A683" s="55"/>
    </row>
    <row r="684" spans="1:1" ht="14.25" customHeight="1">
      <c r="A684" s="55"/>
    </row>
    <row r="685" spans="1:1" ht="14.25" customHeight="1">
      <c r="A685" s="55"/>
    </row>
    <row r="686" spans="1:1" ht="14.25" customHeight="1">
      <c r="A686" s="55"/>
    </row>
    <row r="687" spans="1:1" ht="14.25" customHeight="1">
      <c r="A687" s="55"/>
    </row>
    <row r="688" spans="1:1" ht="14.25" customHeight="1">
      <c r="A688" s="55"/>
    </row>
    <row r="689" spans="1:1" ht="14.25" customHeight="1">
      <c r="A689" s="55"/>
    </row>
    <row r="690" spans="1:1" ht="14.25" customHeight="1">
      <c r="A690" s="55"/>
    </row>
    <row r="691" spans="1:1" ht="14.25" customHeight="1">
      <c r="A691" s="55"/>
    </row>
    <row r="692" spans="1:1" ht="14.25" customHeight="1">
      <c r="A692" s="55"/>
    </row>
    <row r="693" spans="1:1" ht="14.25" customHeight="1">
      <c r="A693" s="55"/>
    </row>
    <row r="694" spans="1:1" ht="14.25" customHeight="1">
      <c r="A694" s="55"/>
    </row>
    <row r="695" spans="1:1" ht="14.25" customHeight="1">
      <c r="A695" s="55"/>
    </row>
    <row r="696" spans="1:1" ht="14.25" customHeight="1">
      <c r="A696" s="55"/>
    </row>
    <row r="697" spans="1:1" ht="14.25" customHeight="1">
      <c r="A697" s="55"/>
    </row>
    <row r="698" spans="1:1" ht="14.25" customHeight="1">
      <c r="A698" s="55"/>
    </row>
    <row r="699" spans="1:1" ht="14.25" customHeight="1">
      <c r="A699" s="55"/>
    </row>
    <row r="700" spans="1:1" ht="14.25" customHeight="1">
      <c r="A700" s="55"/>
    </row>
    <row r="701" spans="1:1" ht="14.25" customHeight="1">
      <c r="A701" s="55"/>
    </row>
    <row r="702" spans="1:1" ht="14.25" customHeight="1">
      <c r="A702" s="55"/>
    </row>
    <row r="703" spans="1:1" ht="14.25" customHeight="1">
      <c r="A703" s="55"/>
    </row>
    <row r="704" spans="1:1" ht="14.25" customHeight="1">
      <c r="A704" s="55"/>
    </row>
    <row r="705" spans="1:1" ht="14.25" customHeight="1">
      <c r="A705" s="55"/>
    </row>
    <row r="706" spans="1:1" ht="14.25" customHeight="1">
      <c r="A706" s="55"/>
    </row>
    <row r="707" spans="1:1" ht="14.25" customHeight="1">
      <c r="A707" s="55"/>
    </row>
    <row r="708" spans="1:1" ht="14.25" customHeight="1">
      <c r="A708" s="55"/>
    </row>
    <row r="709" spans="1:1" ht="14.25" customHeight="1">
      <c r="A709" s="55"/>
    </row>
    <row r="710" spans="1:1" ht="14.25" customHeight="1">
      <c r="A710" s="55"/>
    </row>
    <row r="711" spans="1:1" ht="14.25" customHeight="1">
      <c r="A711" s="55"/>
    </row>
    <row r="712" spans="1:1" ht="14.25" customHeight="1">
      <c r="A712" s="55"/>
    </row>
    <row r="713" spans="1:1" ht="14.25" customHeight="1">
      <c r="A713" s="55"/>
    </row>
    <row r="714" spans="1:1" ht="14.25" customHeight="1">
      <c r="A714" s="55"/>
    </row>
    <row r="715" spans="1:1" ht="14.25" customHeight="1">
      <c r="A715" s="55"/>
    </row>
    <row r="716" spans="1:1" ht="14.25" customHeight="1">
      <c r="A716" s="55"/>
    </row>
    <row r="717" spans="1:1" ht="14.25" customHeight="1">
      <c r="A717" s="55"/>
    </row>
    <row r="718" spans="1:1" ht="14.25" customHeight="1">
      <c r="A718" s="55"/>
    </row>
    <row r="719" spans="1:1" ht="14.25" customHeight="1">
      <c r="A719" s="55"/>
    </row>
    <row r="720" spans="1:1" ht="14.25" customHeight="1">
      <c r="A720" s="55"/>
    </row>
    <row r="721" spans="1:1" ht="14.25" customHeight="1">
      <c r="A721" s="55"/>
    </row>
    <row r="722" spans="1:1" ht="14.25" customHeight="1">
      <c r="A722" s="55"/>
    </row>
    <row r="723" spans="1:1" ht="14.25" customHeight="1">
      <c r="A723" s="55"/>
    </row>
    <row r="724" spans="1:1" ht="14.25" customHeight="1">
      <c r="A724" s="55"/>
    </row>
    <row r="725" spans="1:1" ht="14.25" customHeight="1">
      <c r="A725" s="55"/>
    </row>
    <row r="726" spans="1:1" ht="14.25" customHeight="1">
      <c r="A726" s="55"/>
    </row>
    <row r="727" spans="1:1" ht="14.25" customHeight="1">
      <c r="A727" s="55"/>
    </row>
    <row r="728" spans="1:1" ht="14.25" customHeight="1">
      <c r="A728" s="55"/>
    </row>
    <row r="729" spans="1:1" ht="14.25" customHeight="1">
      <c r="A729" s="55"/>
    </row>
    <row r="730" spans="1:1" ht="14.25" customHeight="1">
      <c r="A730" s="55"/>
    </row>
    <row r="731" spans="1:1" ht="14.25" customHeight="1">
      <c r="A731" s="55"/>
    </row>
    <row r="732" spans="1:1" ht="14.25" customHeight="1">
      <c r="A732" s="55"/>
    </row>
    <row r="733" spans="1:1" ht="14.25" customHeight="1">
      <c r="A733" s="55"/>
    </row>
    <row r="734" spans="1:1" ht="14.25" customHeight="1">
      <c r="A734" s="55"/>
    </row>
    <row r="735" spans="1:1" ht="14.25" customHeight="1">
      <c r="A735" s="55"/>
    </row>
    <row r="736" spans="1:1" ht="14.25" customHeight="1">
      <c r="A736" s="55"/>
    </row>
    <row r="737" spans="1:1" ht="14.25" customHeight="1">
      <c r="A737" s="55"/>
    </row>
    <row r="738" spans="1:1" ht="14.25" customHeight="1">
      <c r="A738" s="55"/>
    </row>
    <row r="739" spans="1:1" ht="14.25" customHeight="1">
      <c r="A739" s="55"/>
    </row>
    <row r="740" spans="1:1" ht="14.25" customHeight="1">
      <c r="A740" s="55"/>
    </row>
    <row r="741" spans="1:1" ht="14.25" customHeight="1">
      <c r="A741" s="55"/>
    </row>
    <row r="742" spans="1:1" ht="14.25" customHeight="1">
      <c r="A742" s="55"/>
    </row>
    <row r="743" spans="1:1" ht="14.25" customHeight="1">
      <c r="A743" s="55"/>
    </row>
    <row r="744" spans="1:1" ht="14.25" customHeight="1">
      <c r="A744" s="55"/>
    </row>
    <row r="745" spans="1:1" ht="14.25" customHeight="1">
      <c r="A745" s="55"/>
    </row>
    <row r="746" spans="1:1" ht="14.25" customHeight="1">
      <c r="A746" s="55"/>
    </row>
    <row r="747" spans="1:1" ht="14.25" customHeight="1">
      <c r="A747" s="55"/>
    </row>
    <row r="748" spans="1:1" ht="14.25" customHeight="1">
      <c r="A748" s="55"/>
    </row>
    <row r="749" spans="1:1" ht="14.25" customHeight="1">
      <c r="A749" s="55"/>
    </row>
    <row r="750" spans="1:1" ht="14.25" customHeight="1">
      <c r="A750" s="55"/>
    </row>
    <row r="751" spans="1:1" ht="14.25" customHeight="1">
      <c r="A751" s="55"/>
    </row>
    <row r="752" spans="1:1" ht="14.25" customHeight="1">
      <c r="A752" s="55"/>
    </row>
    <row r="753" spans="1:1" ht="14.25" customHeight="1">
      <c r="A753" s="55"/>
    </row>
    <row r="754" spans="1:1" ht="14.25" customHeight="1">
      <c r="A754" s="55"/>
    </row>
    <row r="755" spans="1:1" ht="14.25" customHeight="1">
      <c r="A755" s="55"/>
    </row>
    <row r="756" spans="1:1" ht="14.25" customHeight="1">
      <c r="A756" s="55"/>
    </row>
    <row r="757" spans="1:1" ht="14.25" customHeight="1">
      <c r="A757" s="55"/>
    </row>
    <row r="758" spans="1:1" ht="14.25" customHeight="1">
      <c r="A758" s="55"/>
    </row>
    <row r="759" spans="1:1" ht="14.25" customHeight="1">
      <c r="A759" s="55"/>
    </row>
    <row r="760" spans="1:1" ht="14.25" customHeight="1">
      <c r="A760" s="55"/>
    </row>
    <row r="761" spans="1:1" ht="14.25" customHeight="1">
      <c r="A761" s="55"/>
    </row>
    <row r="762" spans="1:1" ht="14.25" customHeight="1">
      <c r="A762" s="55"/>
    </row>
    <row r="763" spans="1:1" ht="14.25" customHeight="1">
      <c r="A763" s="55"/>
    </row>
    <row r="764" spans="1:1" ht="14.25" customHeight="1">
      <c r="A764" s="55"/>
    </row>
    <row r="765" spans="1:1" ht="14.25" customHeight="1">
      <c r="A765" s="55"/>
    </row>
    <row r="766" spans="1:1" ht="14.25" customHeight="1">
      <c r="A766" s="55"/>
    </row>
    <row r="767" spans="1:1" ht="14.25" customHeight="1">
      <c r="A767" s="55"/>
    </row>
    <row r="768" spans="1:1" ht="14.25" customHeight="1">
      <c r="A768" s="55"/>
    </row>
    <row r="769" spans="1:1" ht="14.25" customHeight="1">
      <c r="A769" s="55"/>
    </row>
    <row r="770" spans="1:1" ht="14.25" customHeight="1">
      <c r="A770" s="55"/>
    </row>
    <row r="771" spans="1:1" ht="14.25" customHeight="1">
      <c r="A771" s="55"/>
    </row>
    <row r="772" spans="1:1" ht="14.25" customHeight="1">
      <c r="A772" s="55"/>
    </row>
    <row r="773" spans="1:1" ht="14.25" customHeight="1">
      <c r="A773" s="55"/>
    </row>
    <row r="774" spans="1:1" ht="14.25" customHeight="1">
      <c r="A774" s="55"/>
    </row>
    <row r="775" spans="1:1" ht="14.25" customHeight="1">
      <c r="A775" s="55"/>
    </row>
    <row r="776" spans="1:1" ht="14.25" customHeight="1">
      <c r="A776" s="55"/>
    </row>
    <row r="777" spans="1:1" ht="14.25" customHeight="1">
      <c r="A777" s="55"/>
    </row>
    <row r="778" spans="1:1" ht="14.25" customHeight="1">
      <c r="A778" s="55"/>
    </row>
    <row r="779" spans="1:1" ht="14.25" customHeight="1">
      <c r="A779" s="55"/>
    </row>
    <row r="780" spans="1:1" ht="14.25" customHeight="1">
      <c r="A780" s="55"/>
    </row>
    <row r="781" spans="1:1" ht="14.25" customHeight="1">
      <c r="A781" s="55"/>
    </row>
    <row r="782" spans="1:1" ht="14.25" customHeight="1">
      <c r="A782" s="55"/>
    </row>
    <row r="783" spans="1:1" ht="14.25" customHeight="1">
      <c r="A783" s="55"/>
    </row>
    <row r="784" spans="1:1" ht="14.25" customHeight="1">
      <c r="A784" s="55"/>
    </row>
    <row r="785" spans="1:1" ht="14.25" customHeight="1">
      <c r="A785" s="55"/>
    </row>
    <row r="786" spans="1:1" ht="14.25" customHeight="1">
      <c r="A786" s="55"/>
    </row>
    <row r="787" spans="1:1" ht="14.25" customHeight="1">
      <c r="A787" s="55"/>
    </row>
    <row r="788" spans="1:1" ht="14.25" customHeight="1">
      <c r="A788" s="55"/>
    </row>
    <row r="789" spans="1:1" ht="14.25" customHeight="1">
      <c r="A789" s="55"/>
    </row>
    <row r="790" spans="1:1" ht="14.25" customHeight="1">
      <c r="A790" s="55"/>
    </row>
    <row r="791" spans="1:1" ht="14.25" customHeight="1">
      <c r="A791" s="55"/>
    </row>
    <row r="792" spans="1:1" ht="14.25" customHeight="1">
      <c r="A792" s="55"/>
    </row>
    <row r="793" spans="1:1" ht="14.25" customHeight="1">
      <c r="A793" s="55"/>
    </row>
    <row r="794" spans="1:1" ht="14.25" customHeight="1">
      <c r="A794" s="55"/>
    </row>
    <row r="795" spans="1:1" ht="14.25" customHeight="1">
      <c r="A795" s="55"/>
    </row>
    <row r="796" spans="1:1" ht="14.25" customHeight="1">
      <c r="A796" s="55"/>
    </row>
    <row r="797" spans="1:1" ht="14.25" customHeight="1">
      <c r="A797" s="55"/>
    </row>
    <row r="798" spans="1:1" ht="14.25" customHeight="1">
      <c r="A798" s="55"/>
    </row>
    <row r="799" spans="1:1" ht="14.25" customHeight="1">
      <c r="A799" s="55"/>
    </row>
    <row r="800" spans="1:1" ht="14.25" customHeight="1">
      <c r="A800" s="55"/>
    </row>
    <row r="801" spans="1:1" ht="14.25" customHeight="1">
      <c r="A801" s="55"/>
    </row>
    <row r="802" spans="1:1" ht="14.25" customHeight="1">
      <c r="A802" s="55"/>
    </row>
    <row r="803" spans="1:1" ht="14.25" customHeight="1">
      <c r="A803" s="55"/>
    </row>
    <row r="804" spans="1:1" ht="14.25" customHeight="1">
      <c r="A804" s="55"/>
    </row>
    <row r="805" spans="1:1" ht="14.25" customHeight="1">
      <c r="A805" s="55"/>
    </row>
    <row r="806" spans="1:1" ht="14.25" customHeight="1">
      <c r="A806" s="55"/>
    </row>
    <row r="807" spans="1:1" ht="14.25" customHeight="1">
      <c r="A807" s="55"/>
    </row>
    <row r="808" spans="1:1" ht="14.25" customHeight="1">
      <c r="A808" s="55"/>
    </row>
    <row r="809" spans="1:1" ht="14.25" customHeight="1">
      <c r="A809" s="55"/>
    </row>
    <row r="810" spans="1:1" ht="14.25" customHeight="1">
      <c r="A810" s="55"/>
    </row>
    <row r="811" spans="1:1" ht="14.25" customHeight="1">
      <c r="A811" s="55"/>
    </row>
    <row r="812" spans="1:1" ht="14.25" customHeight="1">
      <c r="A812" s="55"/>
    </row>
    <row r="813" spans="1:1" ht="14.25" customHeight="1">
      <c r="A813" s="55"/>
    </row>
    <row r="814" spans="1:1" ht="14.25" customHeight="1">
      <c r="A814" s="55"/>
    </row>
    <row r="815" spans="1:1" ht="14.25" customHeight="1">
      <c r="A815" s="55"/>
    </row>
    <row r="816" spans="1:1" ht="14.25" customHeight="1">
      <c r="A816" s="55"/>
    </row>
    <row r="817" spans="1:1" ht="14.25" customHeight="1">
      <c r="A817" s="55"/>
    </row>
    <row r="818" spans="1:1" ht="14.25" customHeight="1">
      <c r="A818" s="55"/>
    </row>
    <row r="819" spans="1:1" ht="14.25" customHeight="1">
      <c r="A819" s="55"/>
    </row>
    <row r="820" spans="1:1" ht="14.25" customHeight="1">
      <c r="A820" s="55"/>
    </row>
    <row r="821" spans="1:1" ht="14.25" customHeight="1">
      <c r="A821" s="55"/>
    </row>
    <row r="822" spans="1:1" ht="14.25" customHeight="1">
      <c r="A822" s="55"/>
    </row>
    <row r="823" spans="1:1" ht="14.25" customHeight="1">
      <c r="A823" s="55"/>
    </row>
    <row r="824" spans="1:1" ht="14.25" customHeight="1">
      <c r="A824" s="55"/>
    </row>
    <row r="825" spans="1:1" ht="14.25" customHeight="1">
      <c r="A825" s="55"/>
    </row>
    <row r="826" spans="1:1" ht="14.25" customHeight="1">
      <c r="A826" s="55"/>
    </row>
    <row r="827" spans="1:1" ht="14.25" customHeight="1">
      <c r="A827" s="55"/>
    </row>
    <row r="828" spans="1:1" ht="14.25" customHeight="1">
      <c r="A828" s="55"/>
    </row>
    <row r="829" spans="1:1" ht="14.25" customHeight="1">
      <c r="A829" s="55"/>
    </row>
    <row r="830" spans="1:1" ht="14.25" customHeight="1">
      <c r="A830" s="55"/>
    </row>
    <row r="831" spans="1:1" ht="14.25" customHeight="1">
      <c r="A831" s="55"/>
    </row>
    <row r="832" spans="1:1" ht="14.25" customHeight="1">
      <c r="A832" s="55"/>
    </row>
    <row r="833" spans="1:1" ht="14.25" customHeight="1">
      <c r="A833" s="55"/>
    </row>
    <row r="834" spans="1:1" ht="14.25" customHeight="1">
      <c r="A834" s="55"/>
    </row>
    <row r="835" spans="1:1" ht="14.25" customHeight="1">
      <c r="A835" s="55"/>
    </row>
    <row r="836" spans="1:1" ht="14.25" customHeight="1">
      <c r="A836" s="55"/>
    </row>
    <row r="837" spans="1:1" ht="14.25" customHeight="1">
      <c r="A837" s="55"/>
    </row>
    <row r="838" spans="1:1" ht="14.25" customHeight="1">
      <c r="A838" s="55"/>
    </row>
    <row r="839" spans="1:1" ht="14.25" customHeight="1">
      <c r="A839" s="55"/>
    </row>
    <row r="840" spans="1:1" ht="14.25" customHeight="1">
      <c r="A840" s="55"/>
    </row>
    <row r="841" spans="1:1" ht="14.25" customHeight="1">
      <c r="A841" s="55"/>
    </row>
    <row r="842" spans="1:1" ht="14.25" customHeight="1">
      <c r="A842" s="55"/>
    </row>
    <row r="843" spans="1:1" ht="14.25" customHeight="1">
      <c r="A843" s="55"/>
    </row>
    <row r="844" spans="1:1" ht="14.25" customHeight="1">
      <c r="A844" s="55"/>
    </row>
    <row r="845" spans="1:1" ht="14.25" customHeight="1">
      <c r="A845" s="55"/>
    </row>
    <row r="846" spans="1:1" ht="14.25" customHeight="1">
      <c r="A846" s="55"/>
    </row>
    <row r="847" spans="1:1" ht="14.25" customHeight="1">
      <c r="A847" s="55"/>
    </row>
    <row r="848" spans="1:1" ht="14.25" customHeight="1">
      <c r="A848" s="55"/>
    </row>
    <row r="849" spans="1:1" ht="14.25" customHeight="1">
      <c r="A849" s="55"/>
    </row>
    <row r="850" spans="1:1" ht="14.25" customHeight="1">
      <c r="A850" s="55"/>
    </row>
    <row r="851" spans="1:1" ht="14.25" customHeight="1">
      <c r="A851" s="55"/>
    </row>
    <row r="852" spans="1:1" ht="14.25" customHeight="1">
      <c r="A852" s="55"/>
    </row>
    <row r="853" spans="1:1" ht="14.25" customHeight="1">
      <c r="A853" s="55"/>
    </row>
    <row r="854" spans="1:1" ht="14.25" customHeight="1">
      <c r="A854" s="55"/>
    </row>
    <row r="855" spans="1:1" ht="14.25" customHeight="1">
      <c r="A855" s="55"/>
    </row>
    <row r="856" spans="1:1" ht="14.25" customHeight="1">
      <c r="A856" s="55"/>
    </row>
    <row r="857" spans="1:1" ht="14.25" customHeight="1">
      <c r="A857" s="55"/>
    </row>
    <row r="858" spans="1:1" ht="14.25" customHeight="1">
      <c r="A858" s="55"/>
    </row>
    <row r="859" spans="1:1" ht="14.25" customHeight="1">
      <c r="A859" s="55"/>
    </row>
    <row r="860" spans="1:1" ht="14.25" customHeight="1">
      <c r="A860" s="55"/>
    </row>
    <row r="861" spans="1:1" ht="14.25" customHeight="1">
      <c r="A861" s="55"/>
    </row>
    <row r="862" spans="1:1" ht="14.25" customHeight="1">
      <c r="A862" s="55"/>
    </row>
    <row r="863" spans="1:1" ht="14.25" customHeight="1">
      <c r="A863" s="55"/>
    </row>
    <row r="864" spans="1:1" ht="14.25" customHeight="1">
      <c r="A864" s="55"/>
    </row>
    <row r="865" spans="1:1" ht="14.25" customHeight="1">
      <c r="A865" s="55"/>
    </row>
    <row r="866" spans="1:1" ht="14.25" customHeight="1">
      <c r="A866" s="55"/>
    </row>
    <row r="867" spans="1:1" ht="14.25" customHeight="1">
      <c r="A867" s="55"/>
    </row>
    <row r="868" spans="1:1" ht="14.25" customHeight="1">
      <c r="A868" s="55"/>
    </row>
    <row r="869" spans="1:1" ht="14.25" customHeight="1">
      <c r="A869" s="55"/>
    </row>
    <row r="870" spans="1:1" ht="14.25" customHeight="1">
      <c r="A870" s="55"/>
    </row>
    <row r="871" spans="1:1" ht="14.25" customHeight="1">
      <c r="A871" s="55"/>
    </row>
    <row r="872" spans="1:1" ht="14.25" customHeight="1">
      <c r="A872" s="55"/>
    </row>
    <row r="873" spans="1:1" ht="14.25" customHeight="1">
      <c r="A873" s="55"/>
    </row>
    <row r="874" spans="1:1" ht="14.25" customHeight="1">
      <c r="A874" s="55"/>
    </row>
    <row r="875" spans="1:1" ht="14.25" customHeight="1">
      <c r="A875" s="55"/>
    </row>
    <row r="876" spans="1:1" ht="14.25" customHeight="1">
      <c r="A876" s="55"/>
    </row>
    <row r="877" spans="1:1" ht="14.25" customHeight="1">
      <c r="A877" s="55"/>
    </row>
    <row r="878" spans="1:1" ht="14.25" customHeight="1">
      <c r="A878" s="55"/>
    </row>
    <row r="879" spans="1:1" ht="14.25" customHeight="1">
      <c r="A879" s="55"/>
    </row>
    <row r="880" spans="1:1" ht="14.25" customHeight="1">
      <c r="A880" s="55"/>
    </row>
    <row r="881" spans="1:1" ht="14.25" customHeight="1">
      <c r="A881" s="55"/>
    </row>
    <row r="882" spans="1:1" ht="14.25" customHeight="1">
      <c r="A882" s="55"/>
    </row>
    <row r="883" spans="1:1" ht="14.25" customHeight="1">
      <c r="A883" s="55"/>
    </row>
    <row r="884" spans="1:1" ht="14.25" customHeight="1">
      <c r="A884" s="55"/>
    </row>
    <row r="885" spans="1:1" ht="14.25" customHeight="1">
      <c r="A885" s="55"/>
    </row>
    <row r="886" spans="1:1" ht="14.25" customHeight="1">
      <c r="A886" s="55"/>
    </row>
    <row r="887" spans="1:1" ht="14.25" customHeight="1">
      <c r="A887" s="55"/>
    </row>
    <row r="888" spans="1:1" ht="14.25" customHeight="1">
      <c r="A888" s="55"/>
    </row>
    <row r="889" spans="1:1" ht="14.25" customHeight="1">
      <c r="A889" s="55"/>
    </row>
    <row r="890" spans="1:1" ht="14.25" customHeight="1">
      <c r="A890" s="55"/>
    </row>
    <row r="891" spans="1:1" ht="14.25" customHeight="1">
      <c r="A891" s="55"/>
    </row>
    <row r="892" spans="1:1" ht="14.25" customHeight="1">
      <c r="A892" s="55"/>
    </row>
    <row r="893" spans="1:1" ht="14.25" customHeight="1">
      <c r="A893" s="55"/>
    </row>
    <row r="894" spans="1:1" ht="14.25" customHeight="1">
      <c r="A894" s="55"/>
    </row>
    <row r="895" spans="1:1" ht="14.25" customHeight="1">
      <c r="A895" s="55"/>
    </row>
    <row r="896" spans="1:1" ht="14.25" customHeight="1">
      <c r="A896" s="55"/>
    </row>
    <row r="897" spans="1:1" ht="14.25" customHeight="1">
      <c r="A897" s="55"/>
    </row>
    <row r="898" spans="1:1" ht="14.25" customHeight="1">
      <c r="A898" s="55"/>
    </row>
    <row r="899" spans="1:1" ht="14.25" customHeight="1">
      <c r="A899" s="55"/>
    </row>
    <row r="900" spans="1:1" ht="14.25" customHeight="1">
      <c r="A900" s="55"/>
    </row>
    <row r="901" spans="1:1" ht="14.25" customHeight="1">
      <c r="A901" s="55"/>
    </row>
    <row r="902" spans="1:1" ht="14.25" customHeight="1">
      <c r="A902" s="55"/>
    </row>
    <row r="903" spans="1:1" ht="14.25" customHeight="1">
      <c r="A903" s="55"/>
    </row>
    <row r="904" spans="1:1" ht="14.25" customHeight="1">
      <c r="A904" s="55"/>
    </row>
    <row r="905" spans="1:1" ht="14.25" customHeight="1">
      <c r="A905" s="55"/>
    </row>
    <row r="906" spans="1:1" ht="14.25" customHeight="1">
      <c r="A906" s="55"/>
    </row>
    <row r="907" spans="1:1" ht="14.25" customHeight="1">
      <c r="A907" s="55"/>
    </row>
    <row r="908" spans="1:1" ht="14.25" customHeight="1">
      <c r="A908" s="55"/>
    </row>
    <row r="909" spans="1:1" ht="14.25" customHeight="1">
      <c r="A909" s="55"/>
    </row>
    <row r="910" spans="1:1" ht="14.25" customHeight="1">
      <c r="A910" s="55"/>
    </row>
    <row r="911" spans="1:1" ht="14.25" customHeight="1">
      <c r="A911" s="55"/>
    </row>
    <row r="912" spans="1:1" ht="14.25" customHeight="1">
      <c r="A912" s="55"/>
    </row>
    <row r="913" spans="1:1" ht="14.25" customHeight="1">
      <c r="A913" s="55"/>
    </row>
    <row r="914" spans="1:1" ht="14.25" customHeight="1">
      <c r="A914" s="55"/>
    </row>
    <row r="915" spans="1:1" ht="14.25" customHeight="1">
      <c r="A915" s="55"/>
    </row>
    <row r="916" spans="1:1" ht="14.25" customHeight="1">
      <c r="A916" s="55"/>
    </row>
    <row r="917" spans="1:1" ht="14.25" customHeight="1">
      <c r="A917" s="55"/>
    </row>
    <row r="918" spans="1:1" ht="14.25" customHeight="1">
      <c r="A918" s="55"/>
    </row>
    <row r="919" spans="1:1" ht="14.25" customHeight="1">
      <c r="A919" s="55"/>
    </row>
    <row r="920" spans="1:1" ht="14.25" customHeight="1">
      <c r="A920" s="55"/>
    </row>
    <row r="921" spans="1:1" ht="14.25" customHeight="1">
      <c r="A921" s="55"/>
    </row>
    <row r="922" spans="1:1" ht="14.25" customHeight="1">
      <c r="A922" s="55"/>
    </row>
    <row r="923" spans="1:1" ht="14.25" customHeight="1">
      <c r="A923" s="55"/>
    </row>
    <row r="924" spans="1:1" ht="14.25" customHeight="1">
      <c r="A924" s="55"/>
    </row>
    <row r="925" spans="1:1" ht="14.25" customHeight="1">
      <c r="A925" s="55"/>
    </row>
    <row r="926" spans="1:1" ht="14.25" customHeight="1">
      <c r="A926" s="55"/>
    </row>
    <row r="927" spans="1:1" ht="14.25" customHeight="1">
      <c r="A927" s="55"/>
    </row>
    <row r="928" spans="1:1" ht="14.25" customHeight="1">
      <c r="A928" s="55"/>
    </row>
    <row r="929" spans="1:1" ht="14.25" customHeight="1">
      <c r="A929" s="55"/>
    </row>
    <row r="930" spans="1:1" ht="14.25" customHeight="1">
      <c r="A930" s="55"/>
    </row>
    <row r="931" spans="1:1" ht="14.25" customHeight="1">
      <c r="A931" s="55"/>
    </row>
    <row r="932" spans="1:1" ht="14.25" customHeight="1">
      <c r="A932" s="55"/>
    </row>
    <row r="933" spans="1:1" ht="14.25" customHeight="1">
      <c r="A933" s="55"/>
    </row>
    <row r="934" spans="1:1" ht="14.25" customHeight="1">
      <c r="A934" s="55"/>
    </row>
    <row r="935" spans="1:1" ht="14.25" customHeight="1">
      <c r="A935" s="55"/>
    </row>
    <row r="936" spans="1:1" ht="14.25" customHeight="1">
      <c r="A936" s="55"/>
    </row>
    <row r="937" spans="1:1" ht="14.25" customHeight="1">
      <c r="A937" s="55"/>
    </row>
    <row r="938" spans="1:1" ht="14.25" customHeight="1">
      <c r="A938" s="55"/>
    </row>
    <row r="939" spans="1:1" ht="14.25" customHeight="1">
      <c r="A939" s="55"/>
    </row>
    <row r="940" spans="1:1" ht="14.25" customHeight="1">
      <c r="A940" s="55"/>
    </row>
    <row r="941" spans="1:1" ht="14.25" customHeight="1">
      <c r="A941" s="55"/>
    </row>
    <row r="942" spans="1:1" ht="14.25" customHeight="1">
      <c r="A942" s="55"/>
    </row>
    <row r="943" spans="1:1" ht="14.25" customHeight="1">
      <c r="A943" s="55"/>
    </row>
    <row r="944" spans="1:1" ht="14.25" customHeight="1">
      <c r="A944" s="55"/>
    </row>
    <row r="945" spans="1:1" ht="14.25" customHeight="1">
      <c r="A945" s="55"/>
    </row>
    <row r="946" spans="1:1" ht="14.25" customHeight="1">
      <c r="A946" s="55"/>
    </row>
    <row r="947" spans="1:1" ht="14.25" customHeight="1">
      <c r="A947" s="55"/>
    </row>
    <row r="948" spans="1:1" ht="14.25" customHeight="1">
      <c r="A948" s="55"/>
    </row>
    <row r="949" spans="1:1" ht="14.25" customHeight="1">
      <c r="A949" s="55"/>
    </row>
    <row r="950" spans="1:1" ht="14.25" customHeight="1">
      <c r="A950" s="55"/>
    </row>
    <row r="951" spans="1:1" ht="14.25" customHeight="1">
      <c r="A951" s="55"/>
    </row>
    <row r="952" spans="1:1" ht="14.25" customHeight="1">
      <c r="A952" s="55"/>
    </row>
    <row r="953" spans="1:1" ht="14.25" customHeight="1">
      <c r="A953" s="55"/>
    </row>
    <row r="954" spans="1:1" ht="14.25" customHeight="1">
      <c r="A954" s="55"/>
    </row>
    <row r="955" spans="1:1" ht="14.25" customHeight="1">
      <c r="A955" s="55"/>
    </row>
    <row r="956" spans="1:1" ht="14.25" customHeight="1">
      <c r="A956" s="55"/>
    </row>
    <row r="957" spans="1:1" ht="14.25" customHeight="1">
      <c r="A957" s="55"/>
    </row>
    <row r="958" spans="1:1" ht="14.25" customHeight="1">
      <c r="A958" s="55"/>
    </row>
    <row r="959" spans="1:1" ht="14.25" customHeight="1">
      <c r="A959" s="55"/>
    </row>
    <row r="960" spans="1:1" ht="14.25" customHeight="1">
      <c r="A960" s="55"/>
    </row>
    <row r="961" spans="1:1" ht="14.25" customHeight="1">
      <c r="A961" s="55"/>
    </row>
    <row r="962" spans="1:1" ht="14.25" customHeight="1">
      <c r="A962" s="55"/>
    </row>
    <row r="963" spans="1:1" ht="14.25" customHeight="1">
      <c r="A963" s="55"/>
    </row>
    <row r="964" spans="1:1" ht="14.25" customHeight="1">
      <c r="A964" s="55"/>
    </row>
    <row r="965" spans="1:1" ht="14.25" customHeight="1">
      <c r="A965" s="55"/>
    </row>
    <row r="966" spans="1:1" ht="14.25" customHeight="1">
      <c r="A966" s="55"/>
    </row>
    <row r="967" spans="1:1" ht="14.25" customHeight="1">
      <c r="A967" s="55"/>
    </row>
    <row r="968" spans="1:1" ht="14.25" customHeight="1">
      <c r="A968" s="55"/>
    </row>
    <row r="969" spans="1:1" ht="14.25" customHeight="1">
      <c r="A969" s="55"/>
    </row>
    <row r="970" spans="1:1" ht="14.25" customHeight="1">
      <c r="A970" s="55"/>
    </row>
    <row r="971" spans="1:1" ht="14.25" customHeight="1">
      <c r="A971" s="55"/>
    </row>
    <row r="972" spans="1:1" ht="14.25" customHeight="1">
      <c r="A972" s="55"/>
    </row>
    <row r="973" spans="1:1" ht="14.25" customHeight="1">
      <c r="A973" s="55"/>
    </row>
    <row r="974" spans="1:1" ht="14.25" customHeight="1">
      <c r="A974" s="55"/>
    </row>
    <row r="975" spans="1:1" ht="14.25" customHeight="1">
      <c r="A975" s="55"/>
    </row>
    <row r="976" spans="1:1" ht="14.25" customHeight="1">
      <c r="A976" s="55"/>
    </row>
    <row r="977" spans="1:1" ht="14.25" customHeight="1">
      <c r="A977" s="55"/>
    </row>
    <row r="978" spans="1:1" ht="14.25" customHeight="1">
      <c r="A978" s="55"/>
    </row>
    <row r="979" spans="1:1" ht="14.25" customHeight="1">
      <c r="A979" s="55"/>
    </row>
    <row r="980" spans="1:1" ht="14.25" customHeight="1">
      <c r="A980" s="55"/>
    </row>
    <row r="981" spans="1:1" ht="14.25" customHeight="1">
      <c r="A981" s="55"/>
    </row>
    <row r="982" spans="1:1" ht="14.25" customHeight="1">
      <c r="A982" s="55"/>
    </row>
    <row r="983" spans="1:1" ht="14.25" customHeight="1">
      <c r="A983" s="55"/>
    </row>
    <row r="984" spans="1:1" ht="14.25" customHeight="1">
      <c r="A984" s="55"/>
    </row>
    <row r="985" spans="1:1" ht="14.25" customHeight="1">
      <c r="A985" s="55"/>
    </row>
    <row r="986" spans="1:1" ht="14.25" customHeight="1">
      <c r="A986" s="55"/>
    </row>
    <row r="987" spans="1:1" ht="14.25" customHeight="1">
      <c r="A987" s="55"/>
    </row>
    <row r="988" spans="1:1" ht="14.25" customHeight="1">
      <c r="A988" s="55"/>
    </row>
    <row r="989" spans="1:1" ht="14.25" customHeight="1">
      <c r="A989" s="55"/>
    </row>
    <row r="990" spans="1:1" ht="14.25" customHeight="1">
      <c r="A990" s="55"/>
    </row>
    <row r="991" spans="1:1" ht="14.25" customHeight="1">
      <c r="A991" s="55"/>
    </row>
    <row r="992" spans="1:1" ht="14.25" customHeight="1">
      <c r="A992" s="55"/>
    </row>
    <row r="993" spans="1:1" ht="14.25" customHeight="1">
      <c r="A993" s="55"/>
    </row>
    <row r="994" spans="1:1" ht="14.25" customHeight="1">
      <c r="A994" s="55"/>
    </row>
    <row r="995" spans="1:1" ht="14.25" customHeight="1">
      <c r="A995" s="55"/>
    </row>
    <row r="996" spans="1:1" ht="14.25" customHeight="1">
      <c r="A996" s="55"/>
    </row>
    <row r="997" spans="1:1" ht="14.25" customHeight="1">
      <c r="A997" s="55"/>
    </row>
    <row r="998" spans="1:1" ht="14.25" customHeight="1">
      <c r="A998" s="55"/>
    </row>
    <row r="999" spans="1:1" ht="14.25" customHeight="1">
      <c r="A999" s="55"/>
    </row>
  </sheetData>
  <autoFilter ref="A1:A999"/>
  <pageMargins left="0.70000000000000007" right="0.70000000000000007" top="1.0457000000000001" bottom="1.0457000000000001" header="0" footer="0"/>
  <pageSetup pageOrder="overThenDown"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pane ySplit="1" topLeftCell="A34" activePane="bottomLeft" state="frozen"/>
      <selection pane="bottomLeft" activeCell="F46" sqref="F46"/>
    </sheetView>
  </sheetViews>
  <sheetFormatPr defaultColWidth="12.625" defaultRowHeight="15" customHeight="1"/>
  <cols>
    <col min="1" max="1" width="12.375" customWidth="1"/>
    <col min="2" max="2" width="31.125" customWidth="1"/>
    <col min="3" max="3" width="28.75" customWidth="1"/>
    <col min="4" max="4" width="31.875" customWidth="1"/>
    <col min="5" max="5" width="25.875" customWidth="1"/>
    <col min="6" max="6" width="24.25" customWidth="1"/>
    <col min="7" max="7" width="9" customWidth="1"/>
    <col min="8" max="26" width="8.625" customWidth="1"/>
  </cols>
  <sheetData>
    <row r="1" spans="1:7" ht="13.5" customHeight="1">
      <c r="A1" s="56" t="s">
        <v>111</v>
      </c>
      <c r="B1" s="57" t="s">
        <v>112</v>
      </c>
      <c r="C1" s="58" t="s">
        <v>113</v>
      </c>
      <c r="D1" s="58" t="s">
        <v>114</v>
      </c>
      <c r="E1" s="58" t="s">
        <v>115</v>
      </c>
      <c r="F1" s="59" t="s">
        <v>116</v>
      </c>
      <c r="G1" s="58" t="s">
        <v>117</v>
      </c>
    </row>
    <row r="2" spans="1:7" ht="13.5" customHeight="1">
      <c r="A2" s="26" t="s">
        <v>118</v>
      </c>
      <c r="B2" s="60" t="s">
        <v>119</v>
      </c>
      <c r="C2" s="26"/>
      <c r="D2" s="26"/>
      <c r="E2" s="26"/>
      <c r="F2" s="61" t="s">
        <v>120</v>
      </c>
      <c r="G2" s="26"/>
    </row>
    <row r="3" spans="1:7" ht="13.5" customHeight="1">
      <c r="A3" s="26" t="s">
        <v>118</v>
      </c>
      <c r="B3" s="60" t="s">
        <v>119</v>
      </c>
      <c r="C3" s="26" t="s">
        <v>121</v>
      </c>
      <c r="D3" s="26"/>
      <c r="E3" s="26"/>
      <c r="F3" s="61" t="s">
        <v>122</v>
      </c>
      <c r="G3" s="26"/>
    </row>
    <row r="4" spans="1:7" ht="13.5" customHeight="1">
      <c r="A4" s="26" t="s">
        <v>118</v>
      </c>
      <c r="B4" s="60" t="s">
        <v>119</v>
      </c>
      <c r="C4" s="26" t="s">
        <v>121</v>
      </c>
      <c r="D4" s="26" t="s">
        <v>123</v>
      </c>
      <c r="E4" s="26" t="s">
        <v>123</v>
      </c>
      <c r="F4" s="61" t="s">
        <v>124</v>
      </c>
      <c r="G4" s="26" t="s">
        <v>125</v>
      </c>
    </row>
    <row r="5" spans="1:7" ht="13.5" customHeight="1">
      <c r="A5" s="26" t="s">
        <v>118</v>
      </c>
      <c r="B5" s="60" t="s">
        <v>119</v>
      </c>
      <c r="C5" s="26" t="s">
        <v>121</v>
      </c>
      <c r="D5" s="26" t="s">
        <v>126</v>
      </c>
      <c r="E5" s="26" t="s">
        <v>126</v>
      </c>
      <c r="F5" s="61" t="s">
        <v>127</v>
      </c>
      <c r="G5" s="26" t="s">
        <v>125</v>
      </c>
    </row>
    <row r="6" spans="1:7" ht="13.5" customHeight="1">
      <c r="A6" s="26" t="s">
        <v>118</v>
      </c>
      <c r="B6" s="60" t="s">
        <v>119</v>
      </c>
      <c r="C6" s="26" t="s">
        <v>128</v>
      </c>
      <c r="D6" s="26"/>
      <c r="E6" s="26"/>
      <c r="F6" s="61" t="s">
        <v>129</v>
      </c>
      <c r="G6" s="26"/>
    </row>
    <row r="7" spans="1:7" ht="13.5" customHeight="1">
      <c r="A7" s="26" t="s">
        <v>118</v>
      </c>
      <c r="B7" s="60" t="s">
        <v>119</v>
      </c>
      <c r="C7" s="26" t="s">
        <v>128</v>
      </c>
      <c r="D7" s="26" t="s">
        <v>130</v>
      </c>
      <c r="E7" s="26"/>
      <c r="F7" s="61" t="s">
        <v>131</v>
      </c>
      <c r="G7" s="26"/>
    </row>
    <row r="8" spans="1:7" ht="13.5" customHeight="1">
      <c r="A8" s="26" t="s">
        <v>118</v>
      </c>
      <c r="B8" s="60" t="s">
        <v>119</v>
      </c>
      <c r="C8" s="26" t="s">
        <v>128</v>
      </c>
      <c r="D8" s="26" t="s">
        <v>130</v>
      </c>
      <c r="E8" s="26" t="s">
        <v>132</v>
      </c>
      <c r="F8" s="61" t="s">
        <v>133</v>
      </c>
      <c r="G8" s="26" t="s">
        <v>125</v>
      </c>
    </row>
    <row r="9" spans="1:7" ht="13.5" customHeight="1">
      <c r="A9" s="26" t="s">
        <v>118</v>
      </c>
      <c r="B9" s="60" t="s">
        <v>119</v>
      </c>
      <c r="C9" s="26" t="s">
        <v>128</v>
      </c>
      <c r="D9" s="26" t="s">
        <v>130</v>
      </c>
      <c r="E9" s="26" t="s">
        <v>130</v>
      </c>
      <c r="F9" s="61" t="s">
        <v>134</v>
      </c>
      <c r="G9" s="26" t="s">
        <v>125</v>
      </c>
    </row>
    <row r="10" spans="1:7" ht="13.5" customHeight="1">
      <c r="A10" s="26" t="s">
        <v>118</v>
      </c>
      <c r="B10" s="60" t="s">
        <v>119</v>
      </c>
      <c r="C10" s="26" t="s">
        <v>128</v>
      </c>
      <c r="D10" s="26" t="s">
        <v>135</v>
      </c>
      <c r="E10" s="26" t="s">
        <v>135</v>
      </c>
      <c r="F10" s="61" t="s">
        <v>136</v>
      </c>
      <c r="G10" s="26" t="s">
        <v>125</v>
      </c>
    </row>
    <row r="11" spans="1:7" ht="13.5" customHeight="1">
      <c r="A11" s="26" t="s">
        <v>118</v>
      </c>
      <c r="B11" s="60" t="s">
        <v>119</v>
      </c>
      <c r="C11" s="26" t="s">
        <v>137</v>
      </c>
      <c r="D11" s="26"/>
      <c r="E11" s="26"/>
      <c r="F11" s="61" t="s">
        <v>138</v>
      </c>
      <c r="G11" s="26"/>
    </row>
    <row r="12" spans="1:7" ht="13.5" customHeight="1">
      <c r="A12" s="26" t="s">
        <v>118</v>
      </c>
      <c r="B12" s="60" t="s">
        <v>119</v>
      </c>
      <c r="C12" s="26" t="s">
        <v>137</v>
      </c>
      <c r="D12" s="26" t="s">
        <v>139</v>
      </c>
      <c r="E12" s="26"/>
      <c r="F12" s="61" t="s">
        <v>140</v>
      </c>
      <c r="G12" s="26"/>
    </row>
    <row r="13" spans="1:7" ht="13.5" customHeight="1">
      <c r="A13" s="26" t="s">
        <v>118</v>
      </c>
      <c r="B13" s="60" t="s">
        <v>119</v>
      </c>
      <c r="C13" s="26" t="s">
        <v>137</v>
      </c>
      <c r="D13" s="26" t="s">
        <v>139</v>
      </c>
      <c r="E13" s="26" t="s">
        <v>141</v>
      </c>
      <c r="F13" s="61" t="s">
        <v>142</v>
      </c>
      <c r="G13" s="26" t="s">
        <v>125</v>
      </c>
    </row>
    <row r="14" spans="1:7" ht="13.5" customHeight="1">
      <c r="A14" s="26" t="s">
        <v>118</v>
      </c>
      <c r="B14" s="60" t="s">
        <v>119</v>
      </c>
      <c r="C14" s="26" t="s">
        <v>137</v>
      </c>
      <c r="D14" s="26" t="s">
        <v>139</v>
      </c>
      <c r="E14" s="26" t="s">
        <v>139</v>
      </c>
      <c r="F14" s="61" t="s">
        <v>143</v>
      </c>
      <c r="G14" s="26" t="s">
        <v>125</v>
      </c>
    </row>
    <row r="15" spans="1:7" ht="13.5" customHeight="1">
      <c r="A15" s="26" t="s">
        <v>118</v>
      </c>
      <c r="B15" s="60" t="s">
        <v>119</v>
      </c>
      <c r="C15" s="26" t="s">
        <v>137</v>
      </c>
      <c r="D15" s="26" t="s">
        <v>144</v>
      </c>
      <c r="E15" s="26" t="s">
        <v>144</v>
      </c>
      <c r="F15" s="61" t="s">
        <v>145</v>
      </c>
      <c r="G15" s="26" t="s">
        <v>125</v>
      </c>
    </row>
    <row r="16" spans="1:7" ht="13.5" customHeight="1">
      <c r="A16" s="26" t="s">
        <v>118</v>
      </c>
      <c r="B16" s="60" t="s">
        <v>119</v>
      </c>
      <c r="C16" s="26" t="s">
        <v>137</v>
      </c>
      <c r="D16" s="26" t="s">
        <v>146</v>
      </c>
      <c r="E16" s="26" t="s">
        <v>146</v>
      </c>
      <c r="F16" s="61" t="s">
        <v>147</v>
      </c>
      <c r="G16" s="26" t="s">
        <v>125</v>
      </c>
    </row>
    <row r="17" spans="1:7" ht="13.5" customHeight="1">
      <c r="A17" s="26" t="s">
        <v>118</v>
      </c>
      <c r="B17" s="60" t="s">
        <v>119</v>
      </c>
      <c r="C17" s="26" t="s">
        <v>137</v>
      </c>
      <c r="D17" s="26" t="s">
        <v>148</v>
      </c>
      <c r="E17" s="26" t="s">
        <v>148</v>
      </c>
      <c r="F17" s="61" t="s">
        <v>149</v>
      </c>
      <c r="G17" s="26" t="s">
        <v>125</v>
      </c>
    </row>
    <row r="18" spans="1:7" ht="13.5" customHeight="1">
      <c r="A18" s="26" t="s">
        <v>118</v>
      </c>
      <c r="B18" s="60" t="s">
        <v>119</v>
      </c>
      <c r="C18" s="26" t="s">
        <v>137</v>
      </c>
      <c r="D18" s="26" t="s">
        <v>150</v>
      </c>
      <c r="E18" s="26" t="s">
        <v>150</v>
      </c>
      <c r="F18" s="61" t="s">
        <v>151</v>
      </c>
      <c r="G18" s="26" t="s">
        <v>125</v>
      </c>
    </row>
    <row r="19" spans="1:7" ht="13.5" customHeight="1">
      <c r="A19" s="26" t="s">
        <v>118</v>
      </c>
      <c r="B19" s="60" t="s">
        <v>119</v>
      </c>
      <c r="C19" s="26" t="s">
        <v>137</v>
      </c>
      <c r="D19" s="26" t="s">
        <v>152</v>
      </c>
      <c r="E19" s="26"/>
      <c r="F19" s="61" t="s">
        <v>153</v>
      </c>
      <c r="G19" s="26"/>
    </row>
    <row r="20" spans="1:7" ht="13.5" customHeight="1">
      <c r="A20" s="26" t="s">
        <v>118</v>
      </c>
      <c r="B20" s="60" t="s">
        <v>119</v>
      </c>
      <c r="C20" s="26" t="s">
        <v>137</v>
      </c>
      <c r="D20" s="26" t="s">
        <v>152</v>
      </c>
      <c r="E20" s="26" t="s">
        <v>154</v>
      </c>
      <c r="F20" s="61" t="s">
        <v>153</v>
      </c>
      <c r="G20" s="26" t="s">
        <v>125</v>
      </c>
    </row>
    <row r="21" spans="1:7" ht="13.5" customHeight="1">
      <c r="A21" s="26" t="s">
        <v>118</v>
      </c>
      <c r="B21" s="60" t="s">
        <v>119</v>
      </c>
      <c r="C21" s="26" t="s">
        <v>137</v>
      </c>
      <c r="D21" s="26" t="s">
        <v>155</v>
      </c>
      <c r="E21" s="26" t="s">
        <v>155</v>
      </c>
      <c r="F21" s="61" t="s">
        <v>156</v>
      </c>
      <c r="G21" s="26" t="s">
        <v>125</v>
      </c>
    </row>
    <row r="22" spans="1:7" ht="13.5" customHeight="1">
      <c r="A22" s="26" t="s">
        <v>118</v>
      </c>
      <c r="B22" s="60" t="s">
        <v>119</v>
      </c>
      <c r="C22" s="26" t="s">
        <v>137</v>
      </c>
      <c r="D22" s="26" t="s">
        <v>157</v>
      </c>
      <c r="E22" s="26" t="s">
        <v>157</v>
      </c>
      <c r="F22" s="61" t="s">
        <v>158</v>
      </c>
      <c r="G22" s="26" t="s">
        <v>125</v>
      </c>
    </row>
    <row r="23" spans="1:7" ht="13.5" customHeight="1">
      <c r="A23" s="26" t="s">
        <v>118</v>
      </c>
      <c r="B23" s="60" t="s">
        <v>119</v>
      </c>
      <c r="C23" s="26" t="s">
        <v>137</v>
      </c>
      <c r="D23" s="26" t="s">
        <v>159</v>
      </c>
      <c r="E23" s="26" t="s">
        <v>159</v>
      </c>
      <c r="F23" s="61" t="s">
        <v>160</v>
      </c>
      <c r="G23" s="26" t="s">
        <v>125</v>
      </c>
    </row>
    <row r="24" spans="1:7" ht="13.5" customHeight="1">
      <c r="A24" s="26" t="s">
        <v>118</v>
      </c>
      <c r="B24" s="60" t="s">
        <v>119</v>
      </c>
      <c r="C24" s="26" t="s">
        <v>137</v>
      </c>
      <c r="D24" s="26" t="s">
        <v>161</v>
      </c>
      <c r="E24" s="26" t="s">
        <v>161</v>
      </c>
      <c r="F24" s="61" t="s">
        <v>162</v>
      </c>
      <c r="G24" s="26" t="s">
        <v>125</v>
      </c>
    </row>
    <row r="25" spans="1:7" ht="13.5" customHeight="1">
      <c r="A25" s="26" t="s">
        <v>118</v>
      </c>
      <c r="B25" s="60" t="s">
        <v>119</v>
      </c>
      <c r="C25" s="26" t="s">
        <v>137</v>
      </c>
      <c r="D25" s="26" t="s">
        <v>163</v>
      </c>
      <c r="E25" s="26" t="s">
        <v>163</v>
      </c>
      <c r="F25" s="61" t="s">
        <v>164</v>
      </c>
      <c r="G25" s="26" t="s">
        <v>125</v>
      </c>
    </row>
    <row r="26" spans="1:7" ht="13.5" customHeight="1">
      <c r="A26" s="26" t="s">
        <v>118</v>
      </c>
      <c r="B26" s="60" t="s">
        <v>119</v>
      </c>
      <c r="C26" s="26" t="s">
        <v>137</v>
      </c>
      <c r="D26" s="26" t="s">
        <v>163</v>
      </c>
      <c r="E26" s="26"/>
      <c r="F26" s="61" t="s">
        <v>165</v>
      </c>
      <c r="G26" s="26"/>
    </row>
    <row r="27" spans="1:7" ht="13.5" customHeight="1">
      <c r="A27" s="26" t="s">
        <v>118</v>
      </c>
      <c r="B27" s="60" t="s">
        <v>119</v>
      </c>
      <c r="C27" s="26" t="s">
        <v>137</v>
      </c>
      <c r="D27" s="26" t="s">
        <v>163</v>
      </c>
      <c r="E27" s="26" t="s">
        <v>166</v>
      </c>
      <c r="F27" s="61" t="s">
        <v>167</v>
      </c>
      <c r="G27" s="26" t="s">
        <v>125</v>
      </c>
    </row>
    <row r="28" spans="1:7" ht="13.5" customHeight="1">
      <c r="A28" s="26" t="s">
        <v>118</v>
      </c>
      <c r="B28" s="60" t="s">
        <v>119</v>
      </c>
      <c r="C28" s="26" t="s">
        <v>137</v>
      </c>
      <c r="D28" s="26" t="s">
        <v>168</v>
      </c>
      <c r="E28" s="26" t="s">
        <v>168</v>
      </c>
      <c r="F28" s="61" t="s">
        <v>169</v>
      </c>
      <c r="G28" s="26" t="s">
        <v>125</v>
      </c>
    </row>
    <row r="29" spans="1:7" ht="13.5" customHeight="1">
      <c r="A29" s="26" t="s">
        <v>118</v>
      </c>
      <c r="B29" s="60" t="s">
        <v>119</v>
      </c>
      <c r="C29" s="26" t="s">
        <v>137</v>
      </c>
      <c r="D29" s="26" t="s">
        <v>170</v>
      </c>
      <c r="E29" s="26" t="s">
        <v>170</v>
      </c>
      <c r="F29" s="61" t="s">
        <v>171</v>
      </c>
      <c r="G29" s="26" t="s">
        <v>125</v>
      </c>
    </row>
    <row r="30" spans="1:7" ht="13.5" customHeight="1">
      <c r="A30" s="26" t="s">
        <v>118</v>
      </c>
      <c r="B30" s="60" t="s">
        <v>119</v>
      </c>
      <c r="C30" s="26" t="s">
        <v>137</v>
      </c>
      <c r="D30" s="26" t="s">
        <v>172</v>
      </c>
      <c r="E30" s="26" t="s">
        <v>172</v>
      </c>
      <c r="F30" s="61" t="s">
        <v>173</v>
      </c>
      <c r="G30" s="26" t="s">
        <v>125</v>
      </c>
    </row>
    <row r="31" spans="1:7" ht="13.5" customHeight="1">
      <c r="A31" s="26" t="s">
        <v>118</v>
      </c>
      <c r="B31" s="60" t="s">
        <v>119</v>
      </c>
      <c r="C31" s="26" t="s">
        <v>137</v>
      </c>
      <c r="D31" s="26" t="s">
        <v>172</v>
      </c>
      <c r="E31" s="26"/>
      <c r="F31" s="61" t="s">
        <v>173</v>
      </c>
      <c r="G31" s="26"/>
    </row>
    <row r="32" spans="1:7" ht="13.5" customHeight="1">
      <c r="A32" s="26" t="s">
        <v>118</v>
      </c>
      <c r="B32" s="60" t="s">
        <v>119</v>
      </c>
      <c r="C32" s="26" t="s">
        <v>137</v>
      </c>
      <c r="D32" s="26" t="s">
        <v>172</v>
      </c>
      <c r="E32" s="26" t="s">
        <v>174</v>
      </c>
      <c r="F32" s="61" t="s">
        <v>175</v>
      </c>
      <c r="G32" s="26" t="s">
        <v>125</v>
      </c>
    </row>
    <row r="33" spans="1:7" ht="13.5" customHeight="1">
      <c r="A33" s="26" t="s">
        <v>118</v>
      </c>
      <c r="B33" s="60" t="s">
        <v>119</v>
      </c>
      <c r="C33" s="26" t="s">
        <v>137</v>
      </c>
      <c r="D33" s="26" t="s">
        <v>172</v>
      </c>
      <c r="E33" s="26" t="s">
        <v>176</v>
      </c>
      <c r="F33" s="61" t="s">
        <v>177</v>
      </c>
      <c r="G33" s="26" t="s">
        <v>125</v>
      </c>
    </row>
    <row r="34" spans="1:7" ht="13.5" customHeight="1">
      <c r="A34" s="26" t="s">
        <v>118</v>
      </c>
      <c r="B34" s="60" t="s">
        <v>119</v>
      </c>
      <c r="C34" s="26" t="s">
        <v>137</v>
      </c>
      <c r="D34" s="26" t="s">
        <v>172</v>
      </c>
      <c r="E34" s="26" t="s">
        <v>2030</v>
      </c>
      <c r="F34" s="61" t="s">
        <v>179</v>
      </c>
      <c r="G34" s="26" t="s">
        <v>125</v>
      </c>
    </row>
    <row r="35" spans="1:7" ht="13.5" customHeight="1">
      <c r="A35" s="26" t="s">
        <v>118</v>
      </c>
      <c r="B35" s="60" t="s">
        <v>119</v>
      </c>
      <c r="C35" s="26" t="s">
        <v>137</v>
      </c>
      <c r="D35" s="26" t="s">
        <v>172</v>
      </c>
      <c r="E35" s="26" t="s">
        <v>180</v>
      </c>
      <c r="F35" s="61" t="s">
        <v>181</v>
      </c>
      <c r="G35" s="26" t="s">
        <v>125</v>
      </c>
    </row>
    <row r="36" spans="1:7" ht="13.5" customHeight="1">
      <c r="A36" s="26" t="s">
        <v>118</v>
      </c>
      <c r="B36" s="60" t="s">
        <v>119</v>
      </c>
      <c r="C36" s="26" t="s">
        <v>137</v>
      </c>
      <c r="D36" s="26" t="s">
        <v>172</v>
      </c>
      <c r="E36" s="26" t="s">
        <v>182</v>
      </c>
      <c r="F36" s="61" t="s">
        <v>183</v>
      </c>
      <c r="G36" s="26" t="s">
        <v>125</v>
      </c>
    </row>
    <row r="37" spans="1:7" ht="13.5" customHeight="1">
      <c r="A37" s="26" t="s">
        <v>118</v>
      </c>
      <c r="B37" s="60" t="s">
        <v>119</v>
      </c>
      <c r="C37" s="26" t="s">
        <v>137</v>
      </c>
      <c r="D37" s="26" t="s">
        <v>172</v>
      </c>
      <c r="E37" s="26" t="s">
        <v>184</v>
      </c>
      <c r="F37" s="61" t="s">
        <v>185</v>
      </c>
      <c r="G37" s="26" t="s">
        <v>125</v>
      </c>
    </row>
    <row r="38" spans="1:7" ht="13.5" customHeight="1">
      <c r="A38" s="26" t="s">
        <v>118</v>
      </c>
      <c r="B38" s="60" t="s">
        <v>119</v>
      </c>
      <c r="C38" s="26" t="s">
        <v>137</v>
      </c>
      <c r="D38" s="26" t="s">
        <v>172</v>
      </c>
      <c r="E38" s="26" t="s">
        <v>186</v>
      </c>
      <c r="F38" s="61" t="s">
        <v>187</v>
      </c>
      <c r="G38" s="26" t="s">
        <v>125</v>
      </c>
    </row>
    <row r="39" spans="1:7" ht="13.5" customHeight="1">
      <c r="A39" s="26" t="s">
        <v>118</v>
      </c>
      <c r="B39" s="60" t="s">
        <v>119</v>
      </c>
      <c r="C39" s="26" t="s">
        <v>137</v>
      </c>
      <c r="D39" s="26" t="s">
        <v>172</v>
      </c>
      <c r="E39" s="26" t="s">
        <v>188</v>
      </c>
      <c r="F39" s="61" t="s">
        <v>189</v>
      </c>
      <c r="G39" s="26" t="s">
        <v>125</v>
      </c>
    </row>
    <row r="40" spans="1:7" ht="13.5" customHeight="1">
      <c r="A40" s="26" t="s">
        <v>118</v>
      </c>
      <c r="B40" s="60" t="s">
        <v>119</v>
      </c>
      <c r="C40" s="26" t="s">
        <v>137</v>
      </c>
      <c r="D40" s="26" t="s">
        <v>172</v>
      </c>
      <c r="E40" s="26" t="s">
        <v>190</v>
      </c>
      <c r="F40" s="61" t="s">
        <v>191</v>
      </c>
      <c r="G40" s="26" t="s">
        <v>125</v>
      </c>
    </row>
    <row r="41" spans="1:7" ht="13.5" customHeight="1">
      <c r="A41" s="26" t="s">
        <v>118</v>
      </c>
      <c r="B41" s="60" t="s">
        <v>119</v>
      </c>
      <c r="C41" s="26" t="s">
        <v>137</v>
      </c>
      <c r="D41" s="26" t="s">
        <v>172</v>
      </c>
      <c r="E41" s="26" t="s">
        <v>192</v>
      </c>
      <c r="F41" s="61" t="s">
        <v>193</v>
      </c>
      <c r="G41" s="26" t="s">
        <v>125</v>
      </c>
    </row>
    <row r="42" spans="1:7" ht="13.5" customHeight="1">
      <c r="A42" s="26" t="s">
        <v>118</v>
      </c>
      <c r="B42" s="60" t="s">
        <v>119</v>
      </c>
      <c r="C42" s="26" t="s">
        <v>137</v>
      </c>
      <c r="D42" s="26" t="s">
        <v>172</v>
      </c>
      <c r="E42" s="26" t="s">
        <v>194</v>
      </c>
      <c r="F42" s="61" t="s">
        <v>195</v>
      </c>
      <c r="G42" s="26" t="s">
        <v>125</v>
      </c>
    </row>
    <row r="43" spans="1:7" ht="13.5" customHeight="1">
      <c r="A43" s="26" t="s">
        <v>118</v>
      </c>
      <c r="B43" s="60" t="s">
        <v>119</v>
      </c>
      <c r="C43" s="26" t="s">
        <v>137</v>
      </c>
      <c r="D43" s="26" t="s">
        <v>172</v>
      </c>
      <c r="E43" s="26" t="s">
        <v>196</v>
      </c>
      <c r="F43" s="61" t="s">
        <v>197</v>
      </c>
      <c r="G43" s="26" t="s">
        <v>125</v>
      </c>
    </row>
    <row r="44" spans="1:7" ht="13.5" customHeight="1">
      <c r="A44" s="26" t="s">
        <v>118</v>
      </c>
      <c r="B44" s="60" t="s">
        <v>119</v>
      </c>
      <c r="C44" s="26" t="s">
        <v>137</v>
      </c>
      <c r="D44" s="26" t="s">
        <v>172</v>
      </c>
      <c r="E44" s="26" t="s">
        <v>198</v>
      </c>
      <c r="F44" s="61" t="s">
        <v>199</v>
      </c>
      <c r="G44" s="26" t="s">
        <v>125</v>
      </c>
    </row>
    <row r="45" spans="1:7" ht="13.5" customHeight="1">
      <c r="A45" s="26" t="s">
        <v>118</v>
      </c>
      <c r="B45" s="60" t="s">
        <v>119</v>
      </c>
      <c r="C45" s="26" t="s">
        <v>137</v>
      </c>
      <c r="D45" s="26" t="s">
        <v>172</v>
      </c>
      <c r="E45" s="26" t="s">
        <v>200</v>
      </c>
      <c r="F45" s="61" t="s">
        <v>201</v>
      </c>
      <c r="G45" s="26" t="s">
        <v>125</v>
      </c>
    </row>
    <row r="46" spans="1:7" ht="13.5" customHeight="1">
      <c r="A46" s="26" t="s">
        <v>118</v>
      </c>
      <c r="B46" s="60" t="s">
        <v>119</v>
      </c>
      <c r="C46" s="26" t="s">
        <v>137</v>
      </c>
      <c r="D46" s="26" t="s">
        <v>202</v>
      </c>
      <c r="E46" s="26" t="s">
        <v>202</v>
      </c>
      <c r="F46" s="61" t="s">
        <v>203</v>
      </c>
      <c r="G46" s="26" t="s">
        <v>125</v>
      </c>
    </row>
    <row r="47" spans="1:7" ht="13.5" customHeight="1">
      <c r="A47" s="26" t="s">
        <v>118</v>
      </c>
      <c r="B47" s="60" t="s">
        <v>119</v>
      </c>
      <c r="C47" s="26" t="s">
        <v>137</v>
      </c>
      <c r="D47" s="26" t="s">
        <v>202</v>
      </c>
      <c r="E47" s="26"/>
      <c r="F47" s="61" t="s">
        <v>203</v>
      </c>
      <c r="G47" s="26"/>
    </row>
    <row r="48" spans="1:7" ht="13.5" customHeight="1">
      <c r="A48" s="26" t="s">
        <v>118</v>
      </c>
      <c r="B48" s="60" t="s">
        <v>119</v>
      </c>
      <c r="C48" s="26" t="s">
        <v>137</v>
      </c>
      <c r="D48" s="26" t="s">
        <v>202</v>
      </c>
      <c r="E48" s="26" t="s">
        <v>204</v>
      </c>
      <c r="F48" s="61" t="s">
        <v>205</v>
      </c>
      <c r="G48" s="26" t="s">
        <v>125</v>
      </c>
    </row>
    <row r="49" spans="1:7" ht="13.5" customHeight="1">
      <c r="A49" s="26" t="s">
        <v>118</v>
      </c>
      <c r="B49" s="60" t="s">
        <v>119</v>
      </c>
      <c r="C49" s="26" t="s">
        <v>137</v>
      </c>
      <c r="D49" s="26" t="s">
        <v>202</v>
      </c>
      <c r="E49" s="26" t="s">
        <v>206</v>
      </c>
      <c r="F49" s="61" t="s">
        <v>207</v>
      </c>
      <c r="G49" s="26" t="s">
        <v>125</v>
      </c>
    </row>
    <row r="50" spans="1:7" ht="13.5" customHeight="1">
      <c r="A50" s="26" t="s">
        <v>118</v>
      </c>
      <c r="B50" s="60" t="s">
        <v>119</v>
      </c>
      <c r="C50" s="26" t="s">
        <v>137</v>
      </c>
      <c r="D50" s="26" t="s">
        <v>208</v>
      </c>
      <c r="E50" s="26" t="s">
        <v>208</v>
      </c>
      <c r="F50" s="61" t="s">
        <v>209</v>
      </c>
      <c r="G50" s="26" t="s">
        <v>125</v>
      </c>
    </row>
    <row r="51" spans="1:7" ht="13.5" customHeight="1">
      <c r="A51" s="26" t="s">
        <v>118</v>
      </c>
      <c r="B51" s="60" t="s">
        <v>119</v>
      </c>
      <c r="C51" s="26" t="s">
        <v>210</v>
      </c>
      <c r="D51" s="26"/>
      <c r="E51" s="26"/>
      <c r="F51" s="61" t="s">
        <v>211</v>
      </c>
      <c r="G51" s="26"/>
    </row>
    <row r="52" spans="1:7" ht="13.5" customHeight="1">
      <c r="A52" s="26" t="s">
        <v>118</v>
      </c>
      <c r="B52" s="60" t="s">
        <v>119</v>
      </c>
      <c r="C52" s="26" t="s">
        <v>210</v>
      </c>
      <c r="D52" s="26" t="s">
        <v>212</v>
      </c>
      <c r="E52" s="26" t="s">
        <v>212</v>
      </c>
      <c r="F52" s="61" t="s">
        <v>213</v>
      </c>
      <c r="G52" s="26" t="s">
        <v>125</v>
      </c>
    </row>
    <row r="53" spans="1:7" ht="13.5" customHeight="1">
      <c r="A53" s="26" t="s">
        <v>118</v>
      </c>
      <c r="B53" s="60" t="s">
        <v>119</v>
      </c>
      <c r="C53" s="26" t="s">
        <v>210</v>
      </c>
      <c r="D53" s="26" t="s">
        <v>214</v>
      </c>
      <c r="E53" s="26" t="s">
        <v>214</v>
      </c>
      <c r="F53" s="61" t="s">
        <v>215</v>
      </c>
      <c r="G53" s="26" t="s">
        <v>125</v>
      </c>
    </row>
    <row r="54" spans="1:7" ht="13.5" customHeight="1">
      <c r="A54" s="26" t="s">
        <v>118</v>
      </c>
      <c r="B54" s="60" t="s">
        <v>119</v>
      </c>
      <c r="C54" s="26" t="s">
        <v>210</v>
      </c>
      <c r="D54" s="26" t="s">
        <v>216</v>
      </c>
      <c r="E54" s="26" t="s">
        <v>216</v>
      </c>
      <c r="F54" s="61" t="s">
        <v>217</v>
      </c>
      <c r="G54" s="26" t="s">
        <v>125</v>
      </c>
    </row>
    <row r="55" spans="1:7" ht="13.5" customHeight="1">
      <c r="A55" s="26" t="s">
        <v>118</v>
      </c>
      <c r="B55" s="60" t="s">
        <v>119</v>
      </c>
      <c r="C55" s="26" t="s">
        <v>218</v>
      </c>
      <c r="D55" s="26"/>
      <c r="E55" s="26"/>
      <c r="F55" s="61" t="s">
        <v>219</v>
      </c>
      <c r="G55" s="26"/>
    </row>
    <row r="56" spans="1:7" ht="13.5" customHeight="1">
      <c r="A56" s="26" t="s">
        <v>118</v>
      </c>
      <c r="B56" s="60" t="s">
        <v>119</v>
      </c>
      <c r="C56" s="26" t="s">
        <v>218</v>
      </c>
      <c r="D56" s="26" t="s">
        <v>220</v>
      </c>
      <c r="E56" s="26" t="s">
        <v>220</v>
      </c>
      <c r="F56" s="61" t="s">
        <v>221</v>
      </c>
      <c r="G56" s="26" t="s">
        <v>125</v>
      </c>
    </row>
    <row r="57" spans="1:7" ht="13.5" customHeight="1">
      <c r="A57" s="26" t="s">
        <v>118</v>
      </c>
      <c r="B57" s="60" t="s">
        <v>119</v>
      </c>
      <c r="C57" s="26" t="s">
        <v>218</v>
      </c>
      <c r="D57" s="26" t="s">
        <v>222</v>
      </c>
      <c r="E57" s="26"/>
      <c r="F57" s="61" t="s">
        <v>223</v>
      </c>
      <c r="G57" s="26"/>
    </row>
    <row r="58" spans="1:7" ht="13.5" customHeight="1">
      <c r="A58" s="26" t="s">
        <v>118</v>
      </c>
      <c r="B58" s="60" t="s">
        <v>119</v>
      </c>
      <c r="C58" s="26" t="s">
        <v>218</v>
      </c>
      <c r="D58" s="26" t="s">
        <v>222</v>
      </c>
      <c r="E58" s="26" t="s">
        <v>224</v>
      </c>
      <c r="F58" s="61" t="s">
        <v>225</v>
      </c>
      <c r="G58" s="26" t="s">
        <v>125</v>
      </c>
    </row>
    <row r="59" spans="1:7" ht="13.5" customHeight="1">
      <c r="A59" s="26" t="s">
        <v>118</v>
      </c>
      <c r="B59" s="60" t="s">
        <v>119</v>
      </c>
      <c r="C59" s="26" t="s">
        <v>218</v>
      </c>
      <c r="D59" s="26" t="s">
        <v>222</v>
      </c>
      <c r="E59" s="26" t="s">
        <v>226</v>
      </c>
      <c r="F59" s="61" t="s">
        <v>227</v>
      </c>
      <c r="G59" s="26" t="s">
        <v>125</v>
      </c>
    </row>
    <row r="60" spans="1:7" ht="13.5" customHeight="1">
      <c r="A60" s="26" t="s">
        <v>118</v>
      </c>
      <c r="B60" s="60" t="s">
        <v>119</v>
      </c>
      <c r="C60" s="26" t="s">
        <v>218</v>
      </c>
      <c r="D60" s="26" t="s">
        <v>228</v>
      </c>
      <c r="E60" s="26" t="s">
        <v>228</v>
      </c>
      <c r="F60" s="61" t="s">
        <v>229</v>
      </c>
      <c r="G60" s="26" t="s">
        <v>125</v>
      </c>
    </row>
    <row r="61" spans="1:7" ht="13.5" customHeight="1">
      <c r="A61" s="26" t="s">
        <v>118</v>
      </c>
      <c r="B61" s="60" t="s">
        <v>119</v>
      </c>
      <c r="C61" s="26" t="s">
        <v>218</v>
      </c>
      <c r="D61" s="26" t="s">
        <v>230</v>
      </c>
      <c r="E61" s="26" t="s">
        <v>230</v>
      </c>
      <c r="F61" s="61" t="s">
        <v>231</v>
      </c>
      <c r="G61" s="26" t="s">
        <v>125</v>
      </c>
    </row>
    <row r="62" spans="1:7" ht="13.5" customHeight="1">
      <c r="A62" s="26" t="s">
        <v>118</v>
      </c>
      <c r="B62" s="60" t="s">
        <v>119</v>
      </c>
      <c r="C62" s="26" t="s">
        <v>232</v>
      </c>
      <c r="D62" s="26"/>
      <c r="E62" s="26"/>
      <c r="F62" s="61" t="s">
        <v>233</v>
      </c>
      <c r="G62" s="26"/>
    </row>
    <row r="63" spans="1:7" ht="13.5" customHeight="1">
      <c r="A63" s="26" t="s">
        <v>118</v>
      </c>
      <c r="B63" s="60" t="s">
        <v>119</v>
      </c>
      <c r="C63" s="26" t="s">
        <v>232</v>
      </c>
      <c r="D63" s="26" t="s">
        <v>234</v>
      </c>
      <c r="E63" s="26" t="s">
        <v>234</v>
      </c>
      <c r="F63" s="61" t="s">
        <v>235</v>
      </c>
      <c r="G63" s="26" t="s">
        <v>125</v>
      </c>
    </row>
    <row r="64" spans="1:7" ht="13.5" customHeight="1">
      <c r="A64" s="26" t="s">
        <v>118</v>
      </c>
      <c r="B64" s="60" t="s">
        <v>119</v>
      </c>
      <c r="C64" s="26" t="s">
        <v>232</v>
      </c>
      <c r="D64" s="26" t="s">
        <v>234</v>
      </c>
      <c r="E64" s="26"/>
      <c r="F64" s="61" t="s">
        <v>236</v>
      </c>
      <c r="G64" s="26"/>
    </row>
    <row r="65" spans="1:7" ht="13.5" customHeight="1">
      <c r="A65" s="26" t="s">
        <v>118</v>
      </c>
      <c r="B65" s="60" t="s">
        <v>119</v>
      </c>
      <c r="C65" s="26" t="s">
        <v>232</v>
      </c>
      <c r="D65" s="26" t="s">
        <v>234</v>
      </c>
      <c r="E65" s="26" t="s">
        <v>237</v>
      </c>
      <c r="F65" s="61" t="s">
        <v>238</v>
      </c>
      <c r="G65" s="26" t="s">
        <v>125</v>
      </c>
    </row>
    <row r="66" spans="1:7" ht="13.5" customHeight="1">
      <c r="A66" s="26" t="s">
        <v>118</v>
      </c>
      <c r="B66" s="60" t="s">
        <v>119</v>
      </c>
      <c r="C66" s="26" t="s">
        <v>232</v>
      </c>
      <c r="D66" s="26" t="s">
        <v>239</v>
      </c>
      <c r="E66" s="26" t="s">
        <v>239</v>
      </c>
      <c r="F66" s="61" t="s">
        <v>240</v>
      </c>
      <c r="G66" s="26" t="s">
        <v>125</v>
      </c>
    </row>
    <row r="67" spans="1:7" ht="13.5" customHeight="1">
      <c r="A67" s="26" t="s">
        <v>118</v>
      </c>
      <c r="B67" s="60" t="s">
        <v>119</v>
      </c>
      <c r="C67" s="26" t="s">
        <v>241</v>
      </c>
      <c r="D67" s="26"/>
      <c r="E67" s="26"/>
      <c r="F67" s="61" t="s">
        <v>242</v>
      </c>
      <c r="G67" s="26"/>
    </row>
    <row r="68" spans="1:7" ht="13.5" customHeight="1">
      <c r="A68" s="26" t="s">
        <v>118</v>
      </c>
      <c r="B68" s="60" t="s">
        <v>119</v>
      </c>
      <c r="C68" s="26" t="s">
        <v>241</v>
      </c>
      <c r="D68" s="26" t="s">
        <v>243</v>
      </c>
      <c r="E68" s="26" t="s">
        <v>243</v>
      </c>
      <c r="F68" s="61" t="s">
        <v>244</v>
      </c>
      <c r="G68" s="26" t="s">
        <v>125</v>
      </c>
    </row>
    <row r="69" spans="1:7" ht="13.5" customHeight="1">
      <c r="A69" s="26" t="s">
        <v>118</v>
      </c>
      <c r="B69" s="60" t="s">
        <v>119</v>
      </c>
      <c r="C69" s="26" t="s">
        <v>241</v>
      </c>
      <c r="D69" s="26" t="s">
        <v>245</v>
      </c>
      <c r="E69" s="26"/>
      <c r="F69" s="61" t="s">
        <v>246</v>
      </c>
      <c r="G69" s="26"/>
    </row>
    <row r="70" spans="1:7" ht="13.5" customHeight="1">
      <c r="A70" s="26" t="s">
        <v>118</v>
      </c>
      <c r="B70" s="60" t="s">
        <v>119</v>
      </c>
      <c r="C70" s="26" t="s">
        <v>241</v>
      </c>
      <c r="D70" s="26" t="s">
        <v>245</v>
      </c>
      <c r="E70" s="26" t="s">
        <v>247</v>
      </c>
      <c r="F70" s="61" t="s">
        <v>248</v>
      </c>
      <c r="G70" s="26" t="s">
        <v>125</v>
      </c>
    </row>
    <row r="71" spans="1:7" ht="13.5" customHeight="1">
      <c r="A71" s="26" t="s">
        <v>118</v>
      </c>
      <c r="B71" s="60" t="s">
        <v>119</v>
      </c>
      <c r="C71" s="26" t="s">
        <v>241</v>
      </c>
      <c r="D71" s="26" t="s">
        <v>245</v>
      </c>
      <c r="E71" s="26" t="s">
        <v>245</v>
      </c>
      <c r="F71" s="61" t="s">
        <v>249</v>
      </c>
      <c r="G71" s="26" t="s">
        <v>125</v>
      </c>
    </row>
    <row r="72" spans="1:7" ht="13.5" customHeight="1">
      <c r="A72" s="26" t="s">
        <v>118</v>
      </c>
      <c r="B72" s="60" t="s">
        <v>119</v>
      </c>
      <c r="C72" s="26" t="s">
        <v>250</v>
      </c>
      <c r="D72" s="26"/>
      <c r="E72" s="26"/>
      <c r="F72" s="61" t="s">
        <v>251</v>
      </c>
      <c r="G72" s="26"/>
    </row>
    <row r="73" spans="1:7" ht="13.5" customHeight="1">
      <c r="A73" s="26" t="s">
        <v>118</v>
      </c>
      <c r="B73" s="60" t="s">
        <v>119</v>
      </c>
      <c r="C73" s="26" t="s">
        <v>250</v>
      </c>
      <c r="D73" s="26" t="s">
        <v>252</v>
      </c>
      <c r="E73" s="26" t="s">
        <v>252</v>
      </c>
      <c r="F73" s="61" t="s">
        <v>253</v>
      </c>
      <c r="G73" s="26" t="s">
        <v>125</v>
      </c>
    </row>
    <row r="74" spans="1:7" ht="13.5" customHeight="1">
      <c r="A74" s="26" t="s">
        <v>118</v>
      </c>
      <c r="B74" s="60" t="s">
        <v>119</v>
      </c>
      <c r="C74" s="26" t="s">
        <v>250</v>
      </c>
      <c r="D74" s="26" t="s">
        <v>254</v>
      </c>
      <c r="E74" s="26" t="s">
        <v>254</v>
      </c>
      <c r="F74" s="61" t="s">
        <v>255</v>
      </c>
      <c r="G74" s="26" t="s">
        <v>125</v>
      </c>
    </row>
    <row r="75" spans="1:7" ht="13.5" customHeight="1">
      <c r="A75" s="26" t="s">
        <v>118</v>
      </c>
      <c r="B75" s="60" t="s">
        <v>119</v>
      </c>
      <c r="C75" s="26" t="s">
        <v>256</v>
      </c>
      <c r="D75" s="26"/>
      <c r="E75" s="26"/>
      <c r="F75" s="61" t="s">
        <v>257</v>
      </c>
      <c r="G75" s="26"/>
    </row>
    <row r="76" spans="1:7" ht="13.5" customHeight="1">
      <c r="A76" s="26" t="s">
        <v>118</v>
      </c>
      <c r="B76" s="60" t="s">
        <v>119</v>
      </c>
      <c r="C76" s="26" t="s">
        <v>256</v>
      </c>
      <c r="D76" s="26" t="s">
        <v>256</v>
      </c>
      <c r="E76" s="26"/>
      <c r="F76" s="61" t="s">
        <v>258</v>
      </c>
      <c r="G76" s="26"/>
    </row>
    <row r="77" spans="1:7" ht="13.5" customHeight="1">
      <c r="A77" s="26" t="s">
        <v>118</v>
      </c>
      <c r="B77" s="60" t="s">
        <v>119</v>
      </c>
      <c r="C77" s="26" t="s">
        <v>256</v>
      </c>
      <c r="D77" s="26" t="s">
        <v>256</v>
      </c>
      <c r="E77" s="26" t="s">
        <v>259</v>
      </c>
      <c r="F77" s="61" t="s">
        <v>260</v>
      </c>
      <c r="G77" s="26" t="s">
        <v>125</v>
      </c>
    </row>
    <row r="78" spans="1:7" ht="13.5" customHeight="1">
      <c r="A78" s="26" t="s">
        <v>118</v>
      </c>
      <c r="B78" s="60" t="s">
        <v>119</v>
      </c>
      <c r="C78" s="26" t="s">
        <v>256</v>
      </c>
      <c r="D78" s="26" t="s">
        <v>256</v>
      </c>
      <c r="E78" s="26" t="s">
        <v>256</v>
      </c>
      <c r="F78" s="61" t="s">
        <v>261</v>
      </c>
      <c r="G78" s="26" t="s">
        <v>125</v>
      </c>
    </row>
    <row r="79" spans="1:7" ht="13.5" customHeight="1">
      <c r="A79" s="26" t="s">
        <v>118</v>
      </c>
      <c r="B79" s="60" t="s">
        <v>119</v>
      </c>
      <c r="C79" s="26" t="s">
        <v>262</v>
      </c>
      <c r="D79" s="26"/>
      <c r="E79" s="26"/>
      <c r="F79" s="61" t="s">
        <v>263</v>
      </c>
      <c r="G79" s="26"/>
    </row>
    <row r="80" spans="1:7" ht="13.5" customHeight="1">
      <c r="A80" s="26" t="s">
        <v>118</v>
      </c>
      <c r="B80" s="60" t="s">
        <v>119</v>
      </c>
      <c r="C80" s="26" t="s">
        <v>262</v>
      </c>
      <c r="D80" s="26" t="s">
        <v>264</v>
      </c>
      <c r="E80" s="26" t="s">
        <v>264</v>
      </c>
      <c r="F80" s="61" t="s">
        <v>265</v>
      </c>
      <c r="G80" s="26" t="s">
        <v>125</v>
      </c>
    </row>
    <row r="81" spans="1:7" ht="13.5" customHeight="1">
      <c r="A81" s="26" t="s">
        <v>118</v>
      </c>
      <c r="B81" s="60" t="s">
        <v>119</v>
      </c>
      <c r="C81" s="26" t="s">
        <v>262</v>
      </c>
      <c r="D81" s="26" t="s">
        <v>266</v>
      </c>
      <c r="E81" s="26" t="s">
        <v>266</v>
      </c>
      <c r="F81" s="61" t="s">
        <v>267</v>
      </c>
      <c r="G81" s="26" t="s">
        <v>125</v>
      </c>
    </row>
    <row r="82" spans="1:7" ht="13.5" customHeight="1">
      <c r="A82" s="26" t="s">
        <v>118</v>
      </c>
      <c r="B82" s="60" t="s">
        <v>119</v>
      </c>
      <c r="C82" s="26" t="s">
        <v>262</v>
      </c>
      <c r="D82" s="26" t="s">
        <v>268</v>
      </c>
      <c r="E82" s="26" t="s">
        <v>268</v>
      </c>
      <c r="F82" s="61" t="s">
        <v>269</v>
      </c>
      <c r="G82" s="26" t="s">
        <v>125</v>
      </c>
    </row>
    <row r="83" spans="1:7" ht="13.5" customHeight="1">
      <c r="A83" s="26" t="s">
        <v>118</v>
      </c>
      <c r="B83" s="60" t="s">
        <v>119</v>
      </c>
      <c r="C83" s="26" t="s">
        <v>270</v>
      </c>
      <c r="D83" s="26"/>
      <c r="E83" s="26"/>
      <c r="F83" s="61" t="s">
        <v>271</v>
      </c>
      <c r="G83" s="26"/>
    </row>
    <row r="84" spans="1:7" ht="13.5" customHeight="1">
      <c r="A84" s="26" t="s">
        <v>118</v>
      </c>
      <c r="B84" s="60" t="s">
        <v>119</v>
      </c>
      <c r="C84" s="26" t="s">
        <v>270</v>
      </c>
      <c r="D84" s="26" t="s">
        <v>272</v>
      </c>
      <c r="E84" s="26"/>
      <c r="F84" s="61" t="s">
        <v>273</v>
      </c>
      <c r="G84" s="26"/>
    </row>
    <row r="85" spans="1:7" ht="13.5" customHeight="1">
      <c r="A85" s="26" t="s">
        <v>118</v>
      </c>
      <c r="B85" s="60" t="s">
        <v>119</v>
      </c>
      <c r="C85" s="26" t="s">
        <v>270</v>
      </c>
      <c r="D85" s="26" t="s">
        <v>272</v>
      </c>
      <c r="E85" s="26" t="s">
        <v>274</v>
      </c>
      <c r="F85" s="61" t="s">
        <v>273</v>
      </c>
      <c r="G85" s="26" t="s">
        <v>125</v>
      </c>
    </row>
    <row r="86" spans="1:7" ht="13.5" customHeight="1">
      <c r="A86" s="26" t="s">
        <v>118</v>
      </c>
      <c r="B86" s="60" t="s">
        <v>119</v>
      </c>
      <c r="C86" s="26" t="s">
        <v>270</v>
      </c>
      <c r="D86" s="26" t="s">
        <v>275</v>
      </c>
      <c r="E86" s="26" t="s">
        <v>275</v>
      </c>
      <c r="F86" s="61" t="s">
        <v>276</v>
      </c>
      <c r="G86" s="26" t="s">
        <v>125</v>
      </c>
    </row>
    <row r="87" spans="1:7" ht="13.5" customHeight="1">
      <c r="A87" s="26" t="s">
        <v>118</v>
      </c>
      <c r="B87" s="60" t="s">
        <v>119</v>
      </c>
      <c r="C87" s="26" t="s">
        <v>270</v>
      </c>
      <c r="D87" s="26" t="s">
        <v>277</v>
      </c>
      <c r="E87" s="26"/>
      <c r="F87" s="61" t="s">
        <v>278</v>
      </c>
      <c r="G87" s="26"/>
    </row>
    <row r="88" spans="1:7" ht="13.5" customHeight="1">
      <c r="A88" s="26" t="s">
        <v>118</v>
      </c>
      <c r="B88" s="60" t="s">
        <v>119</v>
      </c>
      <c r="C88" s="26" t="s">
        <v>270</v>
      </c>
      <c r="D88" s="26" t="s">
        <v>277</v>
      </c>
      <c r="E88" s="26" t="s">
        <v>279</v>
      </c>
      <c r="F88" s="61" t="s">
        <v>280</v>
      </c>
      <c r="G88" s="26" t="s">
        <v>125</v>
      </c>
    </row>
    <row r="89" spans="1:7" ht="13.5" customHeight="1">
      <c r="A89" s="26" t="s">
        <v>118</v>
      </c>
      <c r="B89" s="60" t="s">
        <v>119</v>
      </c>
      <c r="C89" s="26" t="s">
        <v>270</v>
      </c>
      <c r="D89" s="26" t="s">
        <v>277</v>
      </c>
      <c r="E89" s="26" t="s">
        <v>277</v>
      </c>
      <c r="F89" s="61" t="s">
        <v>281</v>
      </c>
      <c r="G89" s="26" t="s">
        <v>125</v>
      </c>
    </row>
    <row r="90" spans="1:7" ht="13.5" customHeight="1">
      <c r="A90" s="26" t="s">
        <v>118</v>
      </c>
      <c r="B90" s="60" t="s">
        <v>119</v>
      </c>
      <c r="C90" s="26" t="s">
        <v>270</v>
      </c>
      <c r="D90" s="26" t="s">
        <v>282</v>
      </c>
      <c r="E90" s="26" t="s">
        <v>282</v>
      </c>
      <c r="F90" s="61" t="s">
        <v>283</v>
      </c>
      <c r="G90" s="26" t="s">
        <v>125</v>
      </c>
    </row>
    <row r="91" spans="1:7" ht="13.5" customHeight="1">
      <c r="A91" s="26" t="s">
        <v>118</v>
      </c>
      <c r="B91" s="60" t="s">
        <v>119</v>
      </c>
      <c r="C91" s="26" t="s">
        <v>284</v>
      </c>
      <c r="D91" s="26"/>
      <c r="E91" s="26"/>
      <c r="F91" s="61" t="s">
        <v>285</v>
      </c>
      <c r="G91" s="26"/>
    </row>
    <row r="92" spans="1:7" ht="13.5" customHeight="1">
      <c r="A92" s="26" t="s">
        <v>118</v>
      </c>
      <c r="B92" s="60" t="s">
        <v>119</v>
      </c>
      <c r="C92" s="26" t="s">
        <v>284</v>
      </c>
      <c r="D92" s="26" t="s">
        <v>286</v>
      </c>
      <c r="E92" s="26" t="s">
        <v>286</v>
      </c>
      <c r="F92" s="61" t="s">
        <v>287</v>
      </c>
      <c r="G92" s="26" t="s">
        <v>125</v>
      </c>
    </row>
    <row r="93" spans="1:7" ht="13.5" customHeight="1">
      <c r="A93" s="26" t="s">
        <v>118</v>
      </c>
      <c r="B93" s="60" t="s">
        <v>119</v>
      </c>
      <c r="C93" s="26" t="s">
        <v>284</v>
      </c>
      <c r="D93" s="26" t="s">
        <v>288</v>
      </c>
      <c r="E93" s="26" t="s">
        <v>288</v>
      </c>
      <c r="F93" s="61" t="s">
        <v>289</v>
      </c>
      <c r="G93" s="26" t="s">
        <v>125</v>
      </c>
    </row>
    <row r="94" spans="1:7" ht="13.5" customHeight="1">
      <c r="A94" s="26" t="s">
        <v>118</v>
      </c>
      <c r="B94" s="60" t="s">
        <v>119</v>
      </c>
      <c r="C94" s="26" t="s">
        <v>284</v>
      </c>
      <c r="D94" s="26" t="s">
        <v>290</v>
      </c>
      <c r="E94" s="26" t="s">
        <v>290</v>
      </c>
      <c r="F94" s="61" t="s">
        <v>291</v>
      </c>
      <c r="G94" s="26" t="s">
        <v>125</v>
      </c>
    </row>
    <row r="95" spans="1:7" ht="13.5" customHeight="1">
      <c r="A95" s="26" t="s">
        <v>118</v>
      </c>
      <c r="B95" s="60" t="s">
        <v>119</v>
      </c>
      <c r="C95" s="26" t="s">
        <v>284</v>
      </c>
      <c r="D95" s="26" t="s">
        <v>292</v>
      </c>
      <c r="E95" s="26"/>
      <c r="F95" s="61" t="s">
        <v>293</v>
      </c>
      <c r="G95" s="26"/>
    </row>
    <row r="96" spans="1:7" ht="13.5" customHeight="1">
      <c r="A96" s="26" t="s">
        <v>118</v>
      </c>
      <c r="B96" s="60" t="s">
        <v>119</v>
      </c>
      <c r="C96" s="26" t="s">
        <v>284</v>
      </c>
      <c r="D96" s="26" t="s">
        <v>292</v>
      </c>
      <c r="E96" s="26" t="s">
        <v>294</v>
      </c>
      <c r="F96" s="61" t="s">
        <v>295</v>
      </c>
      <c r="G96" s="26" t="s">
        <v>125</v>
      </c>
    </row>
    <row r="97" spans="1:7" ht="13.5" customHeight="1">
      <c r="A97" s="26" t="s">
        <v>118</v>
      </c>
      <c r="B97" s="60" t="s">
        <v>119</v>
      </c>
      <c r="C97" s="26" t="s">
        <v>284</v>
      </c>
      <c r="D97" s="26" t="s">
        <v>292</v>
      </c>
      <c r="E97" s="26" t="s">
        <v>292</v>
      </c>
      <c r="F97" s="61" t="s">
        <v>296</v>
      </c>
      <c r="G97" s="26" t="s">
        <v>125</v>
      </c>
    </row>
    <row r="98" spans="1:7" ht="13.5" customHeight="1">
      <c r="A98" s="26" t="s">
        <v>118</v>
      </c>
      <c r="B98" s="60" t="s">
        <v>119</v>
      </c>
      <c r="C98" s="26" t="s">
        <v>297</v>
      </c>
      <c r="D98" s="26"/>
      <c r="E98" s="26"/>
      <c r="F98" s="61" t="s">
        <v>298</v>
      </c>
      <c r="G98" s="26"/>
    </row>
    <row r="99" spans="1:7" ht="13.5" customHeight="1">
      <c r="A99" s="26" t="s">
        <v>118</v>
      </c>
      <c r="B99" s="60" t="s">
        <v>119</v>
      </c>
      <c r="C99" s="26" t="s">
        <v>297</v>
      </c>
      <c r="D99" s="26" t="s">
        <v>299</v>
      </c>
      <c r="E99" s="26" t="s">
        <v>299</v>
      </c>
      <c r="F99" s="61" t="s">
        <v>300</v>
      </c>
      <c r="G99" s="26" t="s">
        <v>125</v>
      </c>
    </row>
    <row r="100" spans="1:7" ht="13.5" customHeight="1">
      <c r="A100" s="26" t="s">
        <v>118</v>
      </c>
      <c r="B100" s="60" t="s">
        <v>119</v>
      </c>
      <c r="C100" s="26" t="s">
        <v>297</v>
      </c>
      <c r="D100" s="26" t="s">
        <v>301</v>
      </c>
      <c r="E100" s="26"/>
      <c r="F100" s="61" t="s">
        <v>302</v>
      </c>
      <c r="G100" s="26"/>
    </row>
    <row r="101" spans="1:7" ht="13.5" customHeight="1">
      <c r="A101" s="26" t="s">
        <v>118</v>
      </c>
      <c r="B101" s="60" t="s">
        <v>119</v>
      </c>
      <c r="C101" s="26" t="s">
        <v>297</v>
      </c>
      <c r="D101" s="26" t="s">
        <v>301</v>
      </c>
      <c r="E101" s="26" t="s">
        <v>303</v>
      </c>
      <c r="F101" s="61" t="s">
        <v>304</v>
      </c>
      <c r="G101" s="26" t="s">
        <v>125</v>
      </c>
    </row>
    <row r="102" spans="1:7" ht="13.5" customHeight="1">
      <c r="A102" s="26" t="s">
        <v>118</v>
      </c>
      <c r="B102" s="60" t="s">
        <v>119</v>
      </c>
      <c r="C102" s="26" t="s">
        <v>297</v>
      </c>
      <c r="D102" s="26" t="s">
        <v>301</v>
      </c>
      <c r="E102" s="26" t="s">
        <v>305</v>
      </c>
      <c r="F102" s="61" t="s">
        <v>306</v>
      </c>
      <c r="G102" s="26" t="s">
        <v>125</v>
      </c>
    </row>
    <row r="103" spans="1:7" ht="13.5" customHeight="1">
      <c r="A103" s="26" t="s">
        <v>118</v>
      </c>
      <c r="B103" s="60" t="s">
        <v>119</v>
      </c>
      <c r="C103" s="26" t="s">
        <v>297</v>
      </c>
      <c r="D103" s="26" t="s">
        <v>301</v>
      </c>
      <c r="E103" s="26" t="s">
        <v>307</v>
      </c>
      <c r="F103" s="61" t="s">
        <v>308</v>
      </c>
      <c r="G103" s="26" t="s">
        <v>125</v>
      </c>
    </row>
    <row r="104" spans="1:7" ht="13.5" customHeight="1">
      <c r="A104" s="26" t="s">
        <v>118</v>
      </c>
      <c r="B104" s="60" t="s">
        <v>119</v>
      </c>
      <c r="C104" s="26" t="s">
        <v>297</v>
      </c>
      <c r="D104" s="26" t="s">
        <v>309</v>
      </c>
      <c r="E104" s="26"/>
      <c r="F104" s="61" t="s">
        <v>310</v>
      </c>
      <c r="G104" s="26"/>
    </row>
    <row r="105" spans="1:7" ht="13.5" customHeight="1">
      <c r="A105" s="26" t="s">
        <v>118</v>
      </c>
      <c r="B105" s="60" t="s">
        <v>119</v>
      </c>
      <c r="C105" s="26" t="s">
        <v>297</v>
      </c>
      <c r="D105" s="26" t="s">
        <v>309</v>
      </c>
      <c r="E105" s="26" t="s">
        <v>311</v>
      </c>
      <c r="F105" s="61" t="s">
        <v>312</v>
      </c>
      <c r="G105" s="26" t="s">
        <v>125</v>
      </c>
    </row>
    <row r="106" spans="1:7" ht="13.5" customHeight="1">
      <c r="A106" s="26" t="s">
        <v>118</v>
      </c>
      <c r="B106" s="60" t="s">
        <v>119</v>
      </c>
      <c r="C106" s="26" t="s">
        <v>297</v>
      </c>
      <c r="D106" s="26" t="s">
        <v>309</v>
      </c>
      <c r="E106" s="26" t="s">
        <v>313</v>
      </c>
      <c r="F106" s="61" t="s">
        <v>314</v>
      </c>
      <c r="G106" s="26" t="s">
        <v>125</v>
      </c>
    </row>
    <row r="107" spans="1:7" ht="13.5" customHeight="1">
      <c r="A107" s="26" t="s">
        <v>118</v>
      </c>
      <c r="B107" s="60" t="s">
        <v>119</v>
      </c>
      <c r="C107" s="26" t="s">
        <v>297</v>
      </c>
      <c r="D107" s="26" t="s">
        <v>309</v>
      </c>
      <c r="E107" s="26" t="s">
        <v>315</v>
      </c>
      <c r="F107" s="61" t="s">
        <v>316</v>
      </c>
      <c r="G107" s="26" t="s">
        <v>125</v>
      </c>
    </row>
    <row r="108" spans="1:7" ht="13.5" customHeight="1">
      <c r="A108" s="26" t="s">
        <v>118</v>
      </c>
      <c r="B108" s="60" t="s">
        <v>119</v>
      </c>
      <c r="C108" s="26" t="s">
        <v>297</v>
      </c>
      <c r="D108" s="26" t="s">
        <v>309</v>
      </c>
      <c r="E108" s="26" t="s">
        <v>317</v>
      </c>
      <c r="F108" s="61" t="s">
        <v>318</v>
      </c>
      <c r="G108" s="26" t="s">
        <v>125</v>
      </c>
    </row>
    <row r="109" spans="1:7" ht="13.5" customHeight="1">
      <c r="A109" s="26" t="s">
        <v>118</v>
      </c>
      <c r="B109" s="60" t="s">
        <v>119</v>
      </c>
      <c r="C109" s="26" t="s">
        <v>297</v>
      </c>
      <c r="D109" s="26" t="s">
        <v>309</v>
      </c>
      <c r="E109" s="26" t="s">
        <v>319</v>
      </c>
      <c r="F109" s="61" t="s">
        <v>320</v>
      </c>
      <c r="G109" s="26" t="s">
        <v>125</v>
      </c>
    </row>
    <row r="110" spans="1:7" ht="13.5" customHeight="1">
      <c r="A110" s="26" t="s">
        <v>118</v>
      </c>
      <c r="B110" s="60" t="s">
        <v>119</v>
      </c>
      <c r="C110" s="26" t="s">
        <v>297</v>
      </c>
      <c r="D110" s="26" t="s">
        <v>309</v>
      </c>
      <c r="E110" s="26" t="s">
        <v>321</v>
      </c>
      <c r="F110" s="61" t="s">
        <v>322</v>
      </c>
      <c r="G110" s="26" t="s">
        <v>125</v>
      </c>
    </row>
    <row r="111" spans="1:7" ht="13.5" customHeight="1">
      <c r="A111" s="26" t="s">
        <v>118</v>
      </c>
      <c r="B111" s="60" t="s">
        <v>119</v>
      </c>
      <c r="C111" s="26" t="s">
        <v>297</v>
      </c>
      <c r="D111" s="26" t="s">
        <v>309</v>
      </c>
      <c r="E111" s="26" t="s">
        <v>323</v>
      </c>
      <c r="F111" s="61" t="s">
        <v>324</v>
      </c>
      <c r="G111" s="26" t="s">
        <v>125</v>
      </c>
    </row>
    <row r="112" spans="1:7" ht="13.5" customHeight="1">
      <c r="A112" s="26" t="s">
        <v>118</v>
      </c>
      <c r="B112" s="60" t="s">
        <v>119</v>
      </c>
      <c r="C112" s="26" t="s">
        <v>297</v>
      </c>
      <c r="D112" s="26" t="s">
        <v>309</v>
      </c>
      <c r="E112" s="26" t="s">
        <v>325</v>
      </c>
      <c r="F112" s="61" t="s">
        <v>326</v>
      </c>
      <c r="G112" s="26" t="s">
        <v>125</v>
      </c>
    </row>
    <row r="113" spans="1:7" ht="13.5" customHeight="1">
      <c r="A113" s="26" t="s">
        <v>118</v>
      </c>
      <c r="B113" s="60" t="s">
        <v>119</v>
      </c>
      <c r="C113" s="26" t="s">
        <v>297</v>
      </c>
      <c r="D113" s="26" t="s">
        <v>309</v>
      </c>
      <c r="E113" s="26" t="s">
        <v>327</v>
      </c>
      <c r="F113" s="61" t="s">
        <v>328</v>
      </c>
      <c r="G113" s="26" t="s">
        <v>125</v>
      </c>
    </row>
    <row r="114" spans="1:7" ht="13.5" customHeight="1">
      <c r="A114" s="26" t="s">
        <v>118</v>
      </c>
      <c r="B114" s="60" t="s">
        <v>119</v>
      </c>
      <c r="C114" s="26" t="s">
        <v>297</v>
      </c>
      <c r="D114" s="26" t="s">
        <v>309</v>
      </c>
      <c r="E114" s="26" t="s">
        <v>329</v>
      </c>
      <c r="F114" s="61" t="s">
        <v>330</v>
      </c>
      <c r="G114" s="26" t="s">
        <v>125</v>
      </c>
    </row>
    <row r="115" spans="1:7" ht="13.5" customHeight="1">
      <c r="A115" s="26" t="s">
        <v>118</v>
      </c>
      <c r="B115" s="60" t="s">
        <v>119</v>
      </c>
      <c r="C115" s="26" t="s">
        <v>297</v>
      </c>
      <c r="D115" s="26" t="s">
        <v>331</v>
      </c>
      <c r="E115" s="26"/>
      <c r="F115" s="61" t="s">
        <v>332</v>
      </c>
      <c r="G115" s="26"/>
    </row>
    <row r="116" spans="1:7" ht="13.5" customHeight="1">
      <c r="A116" s="26" t="s">
        <v>118</v>
      </c>
      <c r="B116" s="60" t="s">
        <v>119</v>
      </c>
      <c r="C116" s="26" t="s">
        <v>297</v>
      </c>
      <c r="D116" s="26" t="s">
        <v>331</v>
      </c>
      <c r="E116" s="26" t="s">
        <v>333</v>
      </c>
      <c r="F116" s="61" t="s">
        <v>334</v>
      </c>
      <c r="G116" s="26" t="s">
        <v>125</v>
      </c>
    </row>
    <row r="117" spans="1:7" ht="13.5" customHeight="1">
      <c r="A117" s="26" t="s">
        <v>118</v>
      </c>
      <c r="B117" s="60" t="s">
        <v>119</v>
      </c>
      <c r="C117" s="26" t="s">
        <v>297</v>
      </c>
      <c r="D117" s="26" t="s">
        <v>331</v>
      </c>
      <c r="E117" s="26" t="s">
        <v>335</v>
      </c>
      <c r="F117" s="61" t="s">
        <v>336</v>
      </c>
      <c r="G117" s="26" t="s">
        <v>125</v>
      </c>
    </row>
    <row r="118" spans="1:7" ht="13.5" customHeight="1">
      <c r="A118" s="26" t="s">
        <v>118</v>
      </c>
      <c r="B118" s="60" t="s">
        <v>119</v>
      </c>
      <c r="C118" s="26" t="s">
        <v>297</v>
      </c>
      <c r="D118" s="26" t="s">
        <v>331</v>
      </c>
      <c r="E118" s="26" t="s">
        <v>337</v>
      </c>
      <c r="F118" s="61" t="s">
        <v>338</v>
      </c>
      <c r="G118" s="26" t="s">
        <v>125</v>
      </c>
    </row>
    <row r="119" spans="1:7" ht="13.5" customHeight="1">
      <c r="A119" s="26" t="s">
        <v>118</v>
      </c>
      <c r="B119" s="60" t="s">
        <v>119</v>
      </c>
      <c r="C119" s="26" t="s">
        <v>297</v>
      </c>
      <c r="D119" s="26" t="s">
        <v>331</v>
      </c>
      <c r="E119" s="26" t="s">
        <v>339</v>
      </c>
      <c r="F119" s="61" t="s">
        <v>340</v>
      </c>
      <c r="G119" s="26" t="s">
        <v>125</v>
      </c>
    </row>
    <row r="120" spans="1:7" ht="13.5" customHeight="1">
      <c r="A120" s="26" t="s">
        <v>118</v>
      </c>
      <c r="B120" s="60" t="s">
        <v>119</v>
      </c>
      <c r="C120" s="26" t="s">
        <v>297</v>
      </c>
      <c r="D120" s="26" t="s">
        <v>331</v>
      </c>
      <c r="E120" s="26" t="s">
        <v>341</v>
      </c>
      <c r="F120" s="61" t="s">
        <v>342</v>
      </c>
      <c r="G120" s="26" t="s">
        <v>125</v>
      </c>
    </row>
    <row r="121" spans="1:7" ht="13.5" customHeight="1">
      <c r="A121" s="26" t="s">
        <v>118</v>
      </c>
      <c r="B121" s="60" t="s">
        <v>119</v>
      </c>
      <c r="C121" s="26" t="s">
        <v>297</v>
      </c>
      <c r="D121" s="26" t="s">
        <v>331</v>
      </c>
      <c r="E121" s="26" t="s">
        <v>343</v>
      </c>
      <c r="F121" s="61" t="s">
        <v>344</v>
      </c>
      <c r="G121" s="26" t="s">
        <v>125</v>
      </c>
    </row>
    <row r="122" spans="1:7" ht="13.5" customHeight="1">
      <c r="A122" s="26" t="s">
        <v>118</v>
      </c>
      <c r="B122" s="60" t="s">
        <v>119</v>
      </c>
      <c r="C122" s="26" t="s">
        <v>297</v>
      </c>
      <c r="D122" s="26" t="s">
        <v>331</v>
      </c>
      <c r="E122" s="26" t="s">
        <v>345</v>
      </c>
      <c r="F122" s="61" t="s">
        <v>346</v>
      </c>
      <c r="G122" s="26" t="s">
        <v>125</v>
      </c>
    </row>
    <row r="123" spans="1:7" ht="13.5" customHeight="1">
      <c r="A123" s="26" t="s">
        <v>118</v>
      </c>
      <c r="B123" s="60" t="s">
        <v>119</v>
      </c>
      <c r="C123" s="26" t="s">
        <v>297</v>
      </c>
      <c r="D123" s="26" t="s">
        <v>347</v>
      </c>
      <c r="E123" s="26"/>
      <c r="F123" s="61" t="s">
        <v>348</v>
      </c>
      <c r="G123" s="26"/>
    </row>
    <row r="124" spans="1:7" ht="13.5" customHeight="1">
      <c r="A124" s="26" t="s">
        <v>118</v>
      </c>
      <c r="B124" s="60" t="s">
        <v>119</v>
      </c>
      <c r="C124" s="26" t="s">
        <v>297</v>
      </c>
      <c r="D124" s="26" t="s">
        <v>347</v>
      </c>
      <c r="E124" s="26" t="s">
        <v>174</v>
      </c>
      <c r="F124" s="61" t="s">
        <v>349</v>
      </c>
      <c r="G124" s="26" t="s">
        <v>125</v>
      </c>
    </row>
    <row r="125" spans="1:7" ht="13.5" customHeight="1">
      <c r="A125" s="26" t="s">
        <v>118</v>
      </c>
      <c r="B125" s="60" t="s">
        <v>119</v>
      </c>
      <c r="C125" s="26" t="s">
        <v>297</v>
      </c>
      <c r="D125" s="26" t="s">
        <v>347</v>
      </c>
      <c r="E125" s="26" t="s">
        <v>176</v>
      </c>
      <c r="F125" s="61" t="s">
        <v>350</v>
      </c>
      <c r="G125" s="26" t="s">
        <v>125</v>
      </c>
    </row>
    <row r="126" spans="1:7" ht="13.5" customHeight="1">
      <c r="A126" s="26" t="s">
        <v>118</v>
      </c>
      <c r="B126" s="60" t="s">
        <v>119</v>
      </c>
      <c r="C126" s="26" t="s">
        <v>297</v>
      </c>
      <c r="D126" s="26" t="s">
        <v>347</v>
      </c>
      <c r="E126" s="26" t="s">
        <v>351</v>
      </c>
      <c r="F126" s="61" t="s">
        <v>352</v>
      </c>
      <c r="G126" s="26" t="s">
        <v>125</v>
      </c>
    </row>
    <row r="127" spans="1:7" ht="13.5" customHeight="1">
      <c r="A127" s="26" t="s">
        <v>118</v>
      </c>
      <c r="B127" s="60" t="s">
        <v>119</v>
      </c>
      <c r="C127" s="26" t="s">
        <v>297</v>
      </c>
      <c r="D127" s="26" t="s">
        <v>347</v>
      </c>
      <c r="E127" s="26" t="s">
        <v>180</v>
      </c>
      <c r="F127" s="61" t="s">
        <v>353</v>
      </c>
      <c r="G127" s="26" t="s">
        <v>125</v>
      </c>
    </row>
    <row r="128" spans="1:7" ht="13.5" customHeight="1">
      <c r="A128" s="26" t="s">
        <v>118</v>
      </c>
      <c r="B128" s="60" t="s">
        <v>119</v>
      </c>
      <c r="C128" s="26" t="s">
        <v>297</v>
      </c>
      <c r="D128" s="26" t="s">
        <v>347</v>
      </c>
      <c r="E128" s="26" t="s">
        <v>182</v>
      </c>
      <c r="F128" s="61" t="s">
        <v>354</v>
      </c>
      <c r="G128" s="26" t="s">
        <v>125</v>
      </c>
    </row>
    <row r="129" spans="1:7" ht="13.5" customHeight="1">
      <c r="A129" s="26" t="s">
        <v>118</v>
      </c>
      <c r="B129" s="60" t="s">
        <v>119</v>
      </c>
      <c r="C129" s="26" t="s">
        <v>297</v>
      </c>
      <c r="D129" s="26" t="s">
        <v>347</v>
      </c>
      <c r="E129" s="26" t="s">
        <v>184</v>
      </c>
      <c r="F129" s="61" t="s">
        <v>355</v>
      </c>
      <c r="G129" s="26" t="s">
        <v>125</v>
      </c>
    </row>
    <row r="130" spans="1:7" ht="13.5" customHeight="1">
      <c r="A130" s="26" t="s">
        <v>118</v>
      </c>
      <c r="B130" s="60" t="s">
        <v>119</v>
      </c>
      <c r="C130" s="26" t="s">
        <v>297</v>
      </c>
      <c r="D130" s="26" t="s">
        <v>347</v>
      </c>
      <c r="E130" s="26" t="s">
        <v>356</v>
      </c>
      <c r="F130" s="61" t="s">
        <v>357</v>
      </c>
      <c r="G130" s="26" t="s">
        <v>125</v>
      </c>
    </row>
    <row r="131" spans="1:7" ht="13.5" customHeight="1">
      <c r="A131" s="26" t="s">
        <v>118</v>
      </c>
      <c r="B131" s="60" t="s">
        <v>119</v>
      </c>
      <c r="C131" s="26" t="s">
        <v>297</v>
      </c>
      <c r="D131" s="26" t="s">
        <v>347</v>
      </c>
      <c r="E131" s="26" t="s">
        <v>358</v>
      </c>
      <c r="F131" s="61" t="s">
        <v>359</v>
      </c>
      <c r="G131" s="26" t="s">
        <v>125</v>
      </c>
    </row>
    <row r="132" spans="1:7" ht="13.5" customHeight="1">
      <c r="A132" s="26" t="s">
        <v>118</v>
      </c>
      <c r="B132" s="60" t="s">
        <v>119</v>
      </c>
      <c r="C132" s="26" t="s">
        <v>297</v>
      </c>
      <c r="D132" s="26" t="s">
        <v>347</v>
      </c>
      <c r="E132" s="26" t="s">
        <v>188</v>
      </c>
      <c r="F132" s="61" t="s">
        <v>360</v>
      </c>
      <c r="G132" s="26" t="s">
        <v>125</v>
      </c>
    </row>
    <row r="133" spans="1:7" ht="13.5" customHeight="1">
      <c r="A133" s="26" t="s">
        <v>118</v>
      </c>
      <c r="B133" s="60" t="s">
        <v>119</v>
      </c>
      <c r="C133" s="26" t="s">
        <v>297</v>
      </c>
      <c r="D133" s="26" t="s">
        <v>347</v>
      </c>
      <c r="E133" s="26" t="s">
        <v>361</v>
      </c>
      <c r="F133" s="61" t="s">
        <v>362</v>
      </c>
      <c r="G133" s="26" t="s">
        <v>125</v>
      </c>
    </row>
    <row r="134" spans="1:7" ht="13.5" customHeight="1">
      <c r="A134" s="26" t="s">
        <v>118</v>
      </c>
      <c r="B134" s="60" t="s">
        <v>119</v>
      </c>
      <c r="C134" s="26" t="s">
        <v>297</v>
      </c>
      <c r="D134" s="26" t="s">
        <v>347</v>
      </c>
      <c r="E134" s="26" t="s">
        <v>192</v>
      </c>
      <c r="F134" s="61" t="s">
        <v>363</v>
      </c>
      <c r="G134" s="26" t="s">
        <v>125</v>
      </c>
    </row>
    <row r="135" spans="1:7" ht="13.5" customHeight="1">
      <c r="A135" s="26" t="s">
        <v>118</v>
      </c>
      <c r="B135" s="60" t="s">
        <v>119</v>
      </c>
      <c r="C135" s="26" t="s">
        <v>297</v>
      </c>
      <c r="D135" s="26" t="s">
        <v>347</v>
      </c>
      <c r="E135" s="26" t="s">
        <v>194</v>
      </c>
      <c r="F135" s="61" t="s">
        <v>364</v>
      </c>
      <c r="G135" s="26" t="s">
        <v>125</v>
      </c>
    </row>
    <row r="136" spans="1:7" ht="13.5" customHeight="1">
      <c r="A136" s="26" t="s">
        <v>118</v>
      </c>
      <c r="B136" s="60" t="s">
        <v>119</v>
      </c>
      <c r="C136" s="26" t="s">
        <v>297</v>
      </c>
      <c r="D136" s="26" t="s">
        <v>347</v>
      </c>
      <c r="E136" s="26" t="s">
        <v>196</v>
      </c>
      <c r="F136" s="61" t="s">
        <v>365</v>
      </c>
      <c r="G136" s="26" t="s">
        <v>125</v>
      </c>
    </row>
    <row r="137" spans="1:7" ht="13.5" customHeight="1">
      <c r="A137" s="26" t="s">
        <v>118</v>
      </c>
      <c r="B137" s="60" t="s">
        <v>119</v>
      </c>
      <c r="C137" s="26" t="s">
        <v>297</v>
      </c>
      <c r="D137" s="26" t="s">
        <v>347</v>
      </c>
      <c r="E137" s="26" t="s">
        <v>198</v>
      </c>
      <c r="F137" s="61" t="s">
        <v>366</v>
      </c>
      <c r="G137" s="26" t="s">
        <v>125</v>
      </c>
    </row>
    <row r="138" spans="1:7" ht="13.5" customHeight="1">
      <c r="A138" s="26" t="s">
        <v>118</v>
      </c>
      <c r="B138" s="60" t="s">
        <v>119</v>
      </c>
      <c r="C138" s="26" t="s">
        <v>297</v>
      </c>
      <c r="D138" s="26" t="s">
        <v>347</v>
      </c>
      <c r="E138" s="26" t="s">
        <v>200</v>
      </c>
      <c r="F138" s="61" t="s">
        <v>367</v>
      </c>
      <c r="G138" s="26" t="s">
        <v>125</v>
      </c>
    </row>
    <row r="139" spans="1:7" ht="13.5" customHeight="1">
      <c r="A139" s="26" t="s">
        <v>118</v>
      </c>
      <c r="B139" s="60" t="s">
        <v>119</v>
      </c>
      <c r="C139" s="26" t="s">
        <v>297</v>
      </c>
      <c r="D139" s="26" t="s">
        <v>368</v>
      </c>
      <c r="E139" s="26"/>
      <c r="F139" s="61" t="s">
        <v>369</v>
      </c>
      <c r="G139" s="26"/>
    </row>
    <row r="140" spans="1:7" ht="13.5" customHeight="1">
      <c r="A140" s="26" t="s">
        <v>118</v>
      </c>
      <c r="B140" s="60" t="s">
        <v>119</v>
      </c>
      <c r="C140" s="26" t="s">
        <v>297</v>
      </c>
      <c r="D140" s="26" t="s">
        <v>368</v>
      </c>
      <c r="E140" s="26" t="s">
        <v>370</v>
      </c>
      <c r="F140" s="61" t="s">
        <v>371</v>
      </c>
      <c r="G140" s="26" t="s">
        <v>125</v>
      </c>
    </row>
    <row r="141" spans="1:7" ht="13.5" customHeight="1">
      <c r="A141" s="26" t="s">
        <v>118</v>
      </c>
      <c r="B141" s="60" t="s">
        <v>119</v>
      </c>
      <c r="C141" s="26" t="s">
        <v>297</v>
      </c>
      <c r="D141" s="26" t="s">
        <v>368</v>
      </c>
      <c r="E141" s="26" t="s">
        <v>372</v>
      </c>
      <c r="F141" s="61" t="s">
        <v>373</v>
      </c>
      <c r="G141" s="26" t="s">
        <v>125</v>
      </c>
    </row>
    <row r="142" spans="1:7" ht="13.5" customHeight="1">
      <c r="A142" s="26" t="s">
        <v>118</v>
      </c>
      <c r="B142" s="60" t="s">
        <v>119</v>
      </c>
      <c r="C142" s="26" t="s">
        <v>297</v>
      </c>
      <c r="D142" s="26" t="s">
        <v>368</v>
      </c>
      <c r="E142" s="26" t="s">
        <v>374</v>
      </c>
      <c r="F142" s="61" t="s">
        <v>375</v>
      </c>
      <c r="G142" s="26" t="s">
        <v>125</v>
      </c>
    </row>
    <row r="143" spans="1:7" ht="13.5" customHeight="1">
      <c r="A143" s="26" t="s">
        <v>118</v>
      </c>
      <c r="B143" s="60" t="s">
        <v>119</v>
      </c>
      <c r="C143" s="26" t="s">
        <v>297</v>
      </c>
      <c r="D143" s="26" t="s">
        <v>368</v>
      </c>
      <c r="E143" s="26" t="s">
        <v>376</v>
      </c>
      <c r="F143" s="61" t="s">
        <v>377</v>
      </c>
      <c r="G143" s="26" t="s">
        <v>125</v>
      </c>
    </row>
    <row r="144" spans="1:7" ht="13.5" customHeight="1">
      <c r="A144" s="26" t="s">
        <v>118</v>
      </c>
      <c r="B144" s="60" t="s">
        <v>119</v>
      </c>
      <c r="C144" s="26" t="s">
        <v>297</v>
      </c>
      <c r="D144" s="26" t="s">
        <v>368</v>
      </c>
      <c r="E144" s="26" t="s">
        <v>378</v>
      </c>
      <c r="F144" s="61" t="s">
        <v>379</v>
      </c>
      <c r="G144" s="26" t="s">
        <v>125</v>
      </c>
    </row>
    <row r="145" spans="1:7" ht="13.5" customHeight="1">
      <c r="A145" s="26" t="s">
        <v>118</v>
      </c>
      <c r="B145" s="60" t="s">
        <v>119</v>
      </c>
      <c r="C145" s="26" t="s">
        <v>297</v>
      </c>
      <c r="D145" s="26" t="s">
        <v>380</v>
      </c>
      <c r="E145" s="26"/>
      <c r="F145" s="61" t="s">
        <v>381</v>
      </c>
      <c r="G145" s="26"/>
    </row>
    <row r="146" spans="1:7" ht="13.5" customHeight="1">
      <c r="A146" s="26" t="s">
        <v>118</v>
      </c>
      <c r="B146" s="60" t="s">
        <v>119</v>
      </c>
      <c r="C146" s="26" t="s">
        <v>297</v>
      </c>
      <c r="D146" s="26" t="s">
        <v>380</v>
      </c>
      <c r="E146" s="26" t="s">
        <v>382</v>
      </c>
      <c r="F146" s="61" t="s">
        <v>381</v>
      </c>
      <c r="G146" s="26" t="s">
        <v>125</v>
      </c>
    </row>
    <row r="147" spans="1:7" ht="13.5" customHeight="1">
      <c r="A147" s="26" t="s">
        <v>118</v>
      </c>
      <c r="B147" s="60" t="s">
        <v>119</v>
      </c>
      <c r="C147" s="26" t="s">
        <v>297</v>
      </c>
      <c r="D147" s="26" t="s">
        <v>383</v>
      </c>
      <c r="E147" s="26" t="s">
        <v>383</v>
      </c>
      <c r="F147" s="61" t="s">
        <v>384</v>
      </c>
      <c r="G147" s="26" t="s">
        <v>125</v>
      </c>
    </row>
    <row r="148" spans="1:7" ht="13.5" customHeight="1">
      <c r="A148" s="26" t="s">
        <v>118</v>
      </c>
      <c r="B148" s="60" t="s">
        <v>119</v>
      </c>
      <c r="C148" s="26" t="s">
        <v>297</v>
      </c>
      <c r="D148" s="26" t="s">
        <v>383</v>
      </c>
      <c r="E148" s="26"/>
      <c r="F148" s="61" t="s">
        <v>384</v>
      </c>
      <c r="G148" s="26"/>
    </row>
    <row r="149" spans="1:7" ht="13.5" customHeight="1">
      <c r="A149" s="26" t="s">
        <v>118</v>
      </c>
      <c r="B149" s="60" t="s">
        <v>119</v>
      </c>
      <c r="C149" s="26" t="s">
        <v>297</v>
      </c>
      <c r="D149" s="26" t="s">
        <v>383</v>
      </c>
      <c r="E149" s="26" t="s">
        <v>385</v>
      </c>
      <c r="F149" s="61" t="s">
        <v>386</v>
      </c>
      <c r="G149" s="26" t="s">
        <v>125</v>
      </c>
    </row>
    <row r="150" spans="1:7" ht="13.5" customHeight="1">
      <c r="A150" s="26" t="s">
        <v>118</v>
      </c>
      <c r="B150" s="60" t="s">
        <v>119</v>
      </c>
      <c r="C150" s="26" t="s">
        <v>297</v>
      </c>
      <c r="D150" s="26" t="s">
        <v>383</v>
      </c>
      <c r="E150" s="26" t="s">
        <v>387</v>
      </c>
      <c r="F150" s="61" t="s">
        <v>388</v>
      </c>
      <c r="G150" s="26" t="s">
        <v>125</v>
      </c>
    </row>
    <row r="151" spans="1:7" ht="13.5" customHeight="1">
      <c r="A151" s="26" t="s">
        <v>118</v>
      </c>
      <c r="B151" s="60" t="s">
        <v>119</v>
      </c>
      <c r="C151" s="26" t="s">
        <v>297</v>
      </c>
      <c r="D151" s="26" t="s">
        <v>383</v>
      </c>
      <c r="E151" s="26" t="s">
        <v>389</v>
      </c>
      <c r="F151" s="61" t="s">
        <v>390</v>
      </c>
      <c r="G151" s="26" t="s">
        <v>125</v>
      </c>
    </row>
    <row r="152" spans="1:7" ht="13.5" customHeight="1">
      <c r="A152" s="26" t="s">
        <v>118</v>
      </c>
      <c r="B152" s="60" t="s">
        <v>119</v>
      </c>
      <c r="C152" s="26" t="s">
        <v>297</v>
      </c>
      <c r="D152" s="26" t="s">
        <v>383</v>
      </c>
      <c r="E152" s="26" t="s">
        <v>391</v>
      </c>
      <c r="F152" s="61" t="s">
        <v>392</v>
      </c>
      <c r="G152" s="26" t="s">
        <v>125</v>
      </c>
    </row>
    <row r="153" spans="1:7" ht="13.5" customHeight="1">
      <c r="A153" s="26" t="s">
        <v>118</v>
      </c>
      <c r="B153" s="60" t="s">
        <v>119</v>
      </c>
      <c r="C153" s="26" t="s">
        <v>297</v>
      </c>
      <c r="D153" s="26" t="s">
        <v>383</v>
      </c>
      <c r="E153" s="26" t="s">
        <v>393</v>
      </c>
      <c r="F153" s="61" t="s">
        <v>394</v>
      </c>
      <c r="G153" s="26" t="s">
        <v>125</v>
      </c>
    </row>
    <row r="154" spans="1:7" ht="13.5" customHeight="1">
      <c r="A154" s="26" t="s">
        <v>118</v>
      </c>
      <c r="B154" s="60" t="s">
        <v>119</v>
      </c>
      <c r="C154" s="26" t="s">
        <v>297</v>
      </c>
      <c r="D154" s="26" t="s">
        <v>395</v>
      </c>
      <c r="E154" s="26"/>
      <c r="F154" s="61" t="s">
        <v>396</v>
      </c>
      <c r="G154" s="26"/>
    </row>
    <row r="155" spans="1:7" ht="13.5" customHeight="1">
      <c r="A155" s="26" t="s">
        <v>118</v>
      </c>
      <c r="B155" s="60" t="s">
        <v>119</v>
      </c>
      <c r="C155" s="26" t="s">
        <v>297</v>
      </c>
      <c r="D155" s="26" t="s">
        <v>395</v>
      </c>
      <c r="E155" s="26" t="s">
        <v>397</v>
      </c>
      <c r="F155" s="61" t="s">
        <v>398</v>
      </c>
      <c r="G155" s="26" t="s">
        <v>125</v>
      </c>
    </row>
    <row r="156" spans="1:7" ht="13.5" customHeight="1">
      <c r="A156" s="26" t="s">
        <v>118</v>
      </c>
      <c r="B156" s="60" t="s">
        <v>119</v>
      </c>
      <c r="C156" s="26" t="s">
        <v>297</v>
      </c>
      <c r="D156" s="26" t="s">
        <v>395</v>
      </c>
      <c r="E156" s="26" t="s">
        <v>333</v>
      </c>
      <c r="F156" s="61" t="s">
        <v>399</v>
      </c>
      <c r="G156" s="26" t="s">
        <v>125</v>
      </c>
    </row>
    <row r="157" spans="1:7" ht="13.5" customHeight="1">
      <c r="A157" s="26" t="s">
        <v>118</v>
      </c>
      <c r="B157" s="60" t="s">
        <v>119</v>
      </c>
      <c r="C157" s="26" t="s">
        <v>297</v>
      </c>
      <c r="D157" s="26" t="s">
        <v>395</v>
      </c>
      <c r="E157" s="26" t="s">
        <v>400</v>
      </c>
      <c r="F157" s="61" t="s">
        <v>401</v>
      </c>
      <c r="G157" s="26" t="s">
        <v>125</v>
      </c>
    </row>
    <row r="158" spans="1:7" ht="13.5" customHeight="1">
      <c r="A158" s="26" t="s">
        <v>118</v>
      </c>
      <c r="B158" s="60" t="s">
        <v>119</v>
      </c>
      <c r="C158" s="26" t="s">
        <v>297</v>
      </c>
      <c r="D158" s="26" t="s">
        <v>402</v>
      </c>
      <c r="E158" s="26"/>
      <c r="F158" s="61" t="s">
        <v>403</v>
      </c>
      <c r="G158" s="26"/>
    </row>
    <row r="159" spans="1:7" ht="13.5" customHeight="1">
      <c r="A159" s="26" t="s">
        <v>118</v>
      </c>
      <c r="B159" s="60" t="s">
        <v>119</v>
      </c>
      <c r="C159" s="26" t="s">
        <v>297</v>
      </c>
      <c r="D159" s="26" t="s">
        <v>402</v>
      </c>
      <c r="E159" s="26" t="s">
        <v>404</v>
      </c>
      <c r="F159" s="61" t="s">
        <v>405</v>
      </c>
      <c r="G159" s="26" t="s">
        <v>125</v>
      </c>
    </row>
    <row r="160" spans="1:7" ht="13.5" customHeight="1">
      <c r="A160" s="26" t="s">
        <v>118</v>
      </c>
      <c r="B160" s="60" t="s">
        <v>119</v>
      </c>
      <c r="C160" s="26" t="s">
        <v>297</v>
      </c>
      <c r="D160" s="26" t="s">
        <v>402</v>
      </c>
      <c r="E160" s="26" t="s">
        <v>406</v>
      </c>
      <c r="F160" s="61" t="s">
        <v>407</v>
      </c>
      <c r="G160" s="26" t="s">
        <v>125</v>
      </c>
    </row>
    <row r="161" spans="1:7" ht="13.5" customHeight="1">
      <c r="A161" s="26" t="s">
        <v>118</v>
      </c>
      <c r="B161" s="60" t="s">
        <v>119</v>
      </c>
      <c r="C161" s="26" t="s">
        <v>297</v>
      </c>
      <c r="D161" s="26" t="s">
        <v>402</v>
      </c>
      <c r="E161" s="26" t="s">
        <v>408</v>
      </c>
      <c r="F161" s="61" t="s">
        <v>409</v>
      </c>
      <c r="G161" s="26" t="s">
        <v>125</v>
      </c>
    </row>
    <row r="162" spans="1:7" ht="13.5" customHeight="1">
      <c r="A162" s="26" t="s">
        <v>118</v>
      </c>
      <c r="B162" s="60" t="s">
        <v>119</v>
      </c>
      <c r="C162" s="26" t="s">
        <v>297</v>
      </c>
      <c r="D162" s="26" t="s">
        <v>410</v>
      </c>
      <c r="E162" s="26" t="s">
        <v>410</v>
      </c>
      <c r="F162" s="61" t="s">
        <v>411</v>
      </c>
      <c r="G162" s="26" t="s">
        <v>125</v>
      </c>
    </row>
    <row r="163" spans="1:7" ht="13.5" customHeight="1">
      <c r="A163" s="26" t="s">
        <v>118</v>
      </c>
      <c r="B163" s="60" t="s">
        <v>119</v>
      </c>
      <c r="C163" s="26" t="s">
        <v>297</v>
      </c>
      <c r="D163" s="26" t="s">
        <v>410</v>
      </c>
      <c r="E163" s="26"/>
      <c r="F163" s="61" t="s">
        <v>411</v>
      </c>
      <c r="G163" s="26"/>
    </row>
    <row r="164" spans="1:7" ht="13.5" customHeight="1">
      <c r="A164" s="26" t="s">
        <v>118</v>
      </c>
      <c r="B164" s="60" t="s">
        <v>119</v>
      </c>
      <c r="C164" s="26" t="s">
        <v>297</v>
      </c>
      <c r="D164" s="26" t="s">
        <v>410</v>
      </c>
      <c r="E164" s="26" t="s">
        <v>174</v>
      </c>
      <c r="F164" s="61" t="s">
        <v>412</v>
      </c>
      <c r="G164" s="26" t="s">
        <v>125</v>
      </c>
    </row>
    <row r="165" spans="1:7" ht="13.5" customHeight="1">
      <c r="A165" s="26" t="s">
        <v>118</v>
      </c>
      <c r="B165" s="60" t="s">
        <v>119</v>
      </c>
      <c r="C165" s="26" t="s">
        <v>297</v>
      </c>
      <c r="D165" s="26" t="s">
        <v>410</v>
      </c>
      <c r="E165" s="26" t="s">
        <v>176</v>
      </c>
      <c r="F165" s="61" t="s">
        <v>413</v>
      </c>
      <c r="G165" s="26" t="s">
        <v>125</v>
      </c>
    </row>
    <row r="166" spans="1:7" ht="13.5" customHeight="1">
      <c r="A166" s="26" t="s">
        <v>118</v>
      </c>
      <c r="B166" s="60" t="s">
        <v>119</v>
      </c>
      <c r="C166" s="26" t="s">
        <v>297</v>
      </c>
      <c r="D166" s="26" t="s">
        <v>410</v>
      </c>
      <c r="E166" s="26" t="s">
        <v>178</v>
      </c>
      <c r="F166" s="61" t="s">
        <v>414</v>
      </c>
      <c r="G166" s="26" t="s">
        <v>125</v>
      </c>
    </row>
    <row r="167" spans="1:7" ht="13.5" customHeight="1">
      <c r="A167" s="26" t="s">
        <v>118</v>
      </c>
      <c r="B167" s="60" t="s">
        <v>119</v>
      </c>
      <c r="C167" s="26" t="s">
        <v>297</v>
      </c>
      <c r="D167" s="26" t="s">
        <v>410</v>
      </c>
      <c r="E167" s="26" t="s">
        <v>180</v>
      </c>
      <c r="F167" s="61" t="s">
        <v>415</v>
      </c>
      <c r="G167" s="26" t="s">
        <v>125</v>
      </c>
    </row>
    <row r="168" spans="1:7" ht="13.5" customHeight="1">
      <c r="A168" s="26" t="s">
        <v>118</v>
      </c>
      <c r="B168" s="60" t="s">
        <v>119</v>
      </c>
      <c r="C168" s="26" t="s">
        <v>297</v>
      </c>
      <c r="D168" s="26" t="s">
        <v>410</v>
      </c>
      <c r="E168" s="26" t="s">
        <v>182</v>
      </c>
      <c r="F168" s="61" t="s">
        <v>416</v>
      </c>
      <c r="G168" s="26" t="s">
        <v>125</v>
      </c>
    </row>
    <row r="169" spans="1:7" ht="13.5" customHeight="1">
      <c r="A169" s="26" t="s">
        <v>118</v>
      </c>
      <c r="B169" s="60" t="s">
        <v>119</v>
      </c>
      <c r="C169" s="26" t="s">
        <v>297</v>
      </c>
      <c r="D169" s="26" t="s">
        <v>410</v>
      </c>
      <c r="E169" s="26" t="s">
        <v>186</v>
      </c>
      <c r="F169" s="61" t="s">
        <v>417</v>
      </c>
      <c r="G169" s="26" t="s">
        <v>125</v>
      </c>
    </row>
    <row r="170" spans="1:7" ht="13.5" customHeight="1">
      <c r="A170" s="26" t="s">
        <v>118</v>
      </c>
      <c r="B170" s="60" t="s">
        <v>119</v>
      </c>
      <c r="C170" s="26" t="s">
        <v>297</v>
      </c>
      <c r="D170" s="26" t="s">
        <v>410</v>
      </c>
      <c r="E170" s="26" t="s">
        <v>188</v>
      </c>
      <c r="F170" s="61" t="s">
        <v>418</v>
      </c>
      <c r="G170" s="26" t="s">
        <v>125</v>
      </c>
    </row>
    <row r="171" spans="1:7" ht="13.5" customHeight="1">
      <c r="A171" s="26" t="s">
        <v>118</v>
      </c>
      <c r="B171" s="60" t="s">
        <v>119</v>
      </c>
      <c r="C171" s="26" t="s">
        <v>297</v>
      </c>
      <c r="D171" s="26" t="s">
        <v>410</v>
      </c>
      <c r="E171" s="26" t="s">
        <v>190</v>
      </c>
      <c r="F171" s="61" t="s">
        <v>419</v>
      </c>
      <c r="G171" s="26" t="s">
        <v>125</v>
      </c>
    </row>
    <row r="172" spans="1:7" ht="13.5" customHeight="1">
      <c r="A172" s="26" t="s">
        <v>118</v>
      </c>
      <c r="B172" s="60" t="s">
        <v>119</v>
      </c>
      <c r="C172" s="26" t="s">
        <v>297</v>
      </c>
      <c r="D172" s="26" t="s">
        <v>410</v>
      </c>
      <c r="E172" s="26" t="s">
        <v>192</v>
      </c>
      <c r="F172" s="61" t="s">
        <v>420</v>
      </c>
      <c r="G172" s="26" t="s">
        <v>125</v>
      </c>
    </row>
    <row r="173" spans="1:7" ht="13.5" customHeight="1">
      <c r="A173" s="26" t="s">
        <v>118</v>
      </c>
      <c r="B173" s="60" t="s">
        <v>119</v>
      </c>
      <c r="C173" s="26" t="s">
        <v>297</v>
      </c>
      <c r="D173" s="26" t="s">
        <v>410</v>
      </c>
      <c r="E173" s="26" t="s">
        <v>194</v>
      </c>
      <c r="F173" s="61" t="s">
        <v>421</v>
      </c>
      <c r="G173" s="26" t="s">
        <v>125</v>
      </c>
    </row>
    <row r="174" spans="1:7" ht="13.5" customHeight="1">
      <c r="A174" s="26" t="s">
        <v>118</v>
      </c>
      <c r="B174" s="60" t="s">
        <v>119</v>
      </c>
      <c r="C174" s="26" t="s">
        <v>297</v>
      </c>
      <c r="D174" s="26" t="s">
        <v>410</v>
      </c>
      <c r="E174" s="26" t="s">
        <v>196</v>
      </c>
      <c r="F174" s="61" t="s">
        <v>422</v>
      </c>
      <c r="G174" s="26" t="s">
        <v>125</v>
      </c>
    </row>
    <row r="175" spans="1:7" ht="13.5" customHeight="1">
      <c r="A175" s="26" t="s">
        <v>118</v>
      </c>
      <c r="B175" s="60" t="s">
        <v>119</v>
      </c>
      <c r="C175" s="26" t="s">
        <v>297</v>
      </c>
      <c r="D175" s="26" t="s">
        <v>410</v>
      </c>
      <c r="E175" s="26" t="s">
        <v>198</v>
      </c>
      <c r="F175" s="61" t="s">
        <v>423</v>
      </c>
      <c r="G175" s="26" t="s">
        <v>125</v>
      </c>
    </row>
    <row r="176" spans="1:7" ht="13.5" customHeight="1">
      <c r="A176" s="26" t="s">
        <v>118</v>
      </c>
      <c r="B176" s="60" t="s">
        <v>119</v>
      </c>
      <c r="C176" s="26" t="s">
        <v>297</v>
      </c>
      <c r="D176" s="26" t="s">
        <v>410</v>
      </c>
      <c r="E176" s="26" t="s">
        <v>200</v>
      </c>
      <c r="F176" s="61" t="s">
        <v>424</v>
      </c>
      <c r="G176" s="26" t="s">
        <v>125</v>
      </c>
    </row>
    <row r="177" spans="1:7" ht="13.5" customHeight="1">
      <c r="A177" s="26" t="s">
        <v>118</v>
      </c>
      <c r="B177" s="60" t="s">
        <v>119</v>
      </c>
      <c r="C177" s="26" t="s">
        <v>297</v>
      </c>
      <c r="D177" s="26" t="s">
        <v>425</v>
      </c>
      <c r="E177" s="26" t="s">
        <v>425</v>
      </c>
      <c r="F177" s="61" t="s">
        <v>426</v>
      </c>
      <c r="G177" s="26" t="s">
        <v>125</v>
      </c>
    </row>
    <row r="178" spans="1:7" ht="13.5" customHeight="1">
      <c r="A178" s="26" t="s">
        <v>118</v>
      </c>
      <c r="B178" s="60" t="s">
        <v>119</v>
      </c>
      <c r="C178" s="26" t="s">
        <v>297</v>
      </c>
      <c r="D178" s="26" t="s">
        <v>425</v>
      </c>
      <c r="E178" s="26"/>
      <c r="F178" s="61" t="s">
        <v>426</v>
      </c>
      <c r="G178" s="26"/>
    </row>
    <row r="179" spans="1:7" ht="13.5" customHeight="1">
      <c r="A179" s="26" t="s">
        <v>118</v>
      </c>
      <c r="B179" s="60" t="s">
        <v>119</v>
      </c>
      <c r="C179" s="26" t="s">
        <v>297</v>
      </c>
      <c r="D179" s="26" t="s">
        <v>425</v>
      </c>
      <c r="E179" s="26" t="s">
        <v>204</v>
      </c>
      <c r="F179" s="61" t="s">
        <v>427</v>
      </c>
      <c r="G179" s="26" t="s">
        <v>125</v>
      </c>
    </row>
    <row r="180" spans="1:7" ht="13.5" customHeight="1">
      <c r="A180" s="26" t="s">
        <v>118</v>
      </c>
      <c r="B180" s="60" t="s">
        <v>119</v>
      </c>
      <c r="C180" s="26" t="s">
        <v>297</v>
      </c>
      <c r="D180" s="26" t="s">
        <v>425</v>
      </c>
      <c r="E180" s="26" t="s">
        <v>206</v>
      </c>
      <c r="F180" s="61" t="s">
        <v>428</v>
      </c>
      <c r="G180" s="26" t="s">
        <v>125</v>
      </c>
    </row>
    <row r="181" spans="1:7" ht="13.5" customHeight="1">
      <c r="A181" s="26" t="s">
        <v>118</v>
      </c>
      <c r="B181" s="60" t="s">
        <v>119</v>
      </c>
      <c r="C181" s="26" t="s">
        <v>297</v>
      </c>
      <c r="D181" s="26" t="s">
        <v>429</v>
      </c>
      <c r="E181" s="26"/>
      <c r="F181" s="61" t="s">
        <v>430</v>
      </c>
      <c r="G181" s="26"/>
    </row>
    <row r="182" spans="1:7" ht="13.5" customHeight="1">
      <c r="A182" s="26" t="s">
        <v>118</v>
      </c>
      <c r="B182" s="60" t="s">
        <v>119</v>
      </c>
      <c r="C182" s="26" t="s">
        <v>297</v>
      </c>
      <c r="D182" s="26" t="s">
        <v>429</v>
      </c>
      <c r="E182" s="26" t="s">
        <v>431</v>
      </c>
      <c r="F182" s="61" t="s">
        <v>432</v>
      </c>
      <c r="G182" s="26" t="s">
        <v>125</v>
      </c>
    </row>
    <row r="183" spans="1:7" ht="13.5" customHeight="1">
      <c r="A183" s="26" t="s">
        <v>118</v>
      </c>
      <c r="B183" s="60" t="s">
        <v>119</v>
      </c>
      <c r="C183" s="26" t="s">
        <v>297</v>
      </c>
      <c r="D183" s="26" t="s">
        <v>429</v>
      </c>
      <c r="E183" s="26" t="s">
        <v>433</v>
      </c>
      <c r="F183" s="61" t="s">
        <v>434</v>
      </c>
      <c r="G183" s="26" t="s">
        <v>125</v>
      </c>
    </row>
    <row r="184" spans="1:7" ht="13.5" customHeight="1">
      <c r="A184" s="26" t="s">
        <v>118</v>
      </c>
      <c r="B184" s="60" t="s">
        <v>119</v>
      </c>
      <c r="C184" s="26" t="s">
        <v>435</v>
      </c>
      <c r="D184" s="26"/>
      <c r="E184" s="26"/>
      <c r="F184" s="61" t="s">
        <v>436</v>
      </c>
      <c r="G184" s="26"/>
    </row>
    <row r="185" spans="1:7" ht="13.5" customHeight="1">
      <c r="A185" s="26" t="s">
        <v>118</v>
      </c>
      <c r="B185" s="60" t="s">
        <v>119</v>
      </c>
      <c r="C185" s="26" t="s">
        <v>435</v>
      </c>
      <c r="D185" s="26" t="s">
        <v>437</v>
      </c>
      <c r="E185" s="26" t="s">
        <v>437</v>
      </c>
      <c r="F185" s="61" t="s">
        <v>438</v>
      </c>
      <c r="G185" s="26" t="s">
        <v>125</v>
      </c>
    </row>
    <row r="186" spans="1:7" ht="13.5" customHeight="1">
      <c r="A186" s="26" t="s">
        <v>118</v>
      </c>
      <c r="B186" s="60" t="s">
        <v>119</v>
      </c>
      <c r="C186" s="26" t="s">
        <v>435</v>
      </c>
      <c r="D186" s="26" t="s">
        <v>439</v>
      </c>
      <c r="E186" s="26" t="s">
        <v>439</v>
      </c>
      <c r="F186" s="61" t="s">
        <v>440</v>
      </c>
      <c r="G186" s="26" t="s">
        <v>125</v>
      </c>
    </row>
    <row r="187" spans="1:7" ht="13.5" customHeight="1">
      <c r="A187" s="26" t="s">
        <v>118</v>
      </c>
      <c r="B187" s="60" t="s">
        <v>119</v>
      </c>
      <c r="C187" s="26" t="s">
        <v>435</v>
      </c>
      <c r="D187" s="26" t="s">
        <v>441</v>
      </c>
      <c r="E187" s="26" t="s">
        <v>441</v>
      </c>
      <c r="F187" s="61" t="s">
        <v>442</v>
      </c>
      <c r="G187" s="26" t="s">
        <v>125</v>
      </c>
    </row>
    <row r="188" spans="1:7" ht="13.5" customHeight="1">
      <c r="A188" s="26" t="s">
        <v>118</v>
      </c>
      <c r="B188" s="60" t="s">
        <v>119</v>
      </c>
      <c r="C188" s="26" t="s">
        <v>435</v>
      </c>
      <c r="D188" s="26" t="s">
        <v>441</v>
      </c>
      <c r="E188" s="26"/>
      <c r="F188" s="61" t="s">
        <v>442</v>
      </c>
      <c r="G188" s="26"/>
    </row>
    <row r="189" spans="1:7" ht="13.5" customHeight="1">
      <c r="A189" s="26" t="s">
        <v>118</v>
      </c>
      <c r="B189" s="60" t="s">
        <v>119</v>
      </c>
      <c r="C189" s="26" t="s">
        <v>435</v>
      </c>
      <c r="D189" s="26" t="s">
        <v>441</v>
      </c>
      <c r="E189" s="26" t="s">
        <v>443</v>
      </c>
      <c r="F189" s="61" t="s">
        <v>444</v>
      </c>
      <c r="G189" s="26" t="s">
        <v>125</v>
      </c>
    </row>
    <row r="190" spans="1:7" ht="13.5" customHeight="1">
      <c r="A190" s="26" t="s">
        <v>118</v>
      </c>
      <c r="B190" s="60" t="s">
        <v>119</v>
      </c>
      <c r="C190" s="26" t="s">
        <v>435</v>
      </c>
      <c r="D190" s="26" t="s">
        <v>441</v>
      </c>
      <c r="E190" s="26" t="s">
        <v>445</v>
      </c>
      <c r="F190" s="61" t="s">
        <v>446</v>
      </c>
      <c r="G190" s="26" t="s">
        <v>125</v>
      </c>
    </row>
    <row r="191" spans="1:7" ht="13.5" customHeight="1">
      <c r="A191" s="26" t="s">
        <v>118</v>
      </c>
      <c r="B191" s="60" t="s">
        <v>119</v>
      </c>
      <c r="C191" s="26" t="s">
        <v>435</v>
      </c>
      <c r="D191" s="26" t="s">
        <v>441</v>
      </c>
      <c r="E191" s="26" t="s">
        <v>447</v>
      </c>
      <c r="F191" s="61" t="s">
        <v>448</v>
      </c>
      <c r="G191" s="26" t="s">
        <v>125</v>
      </c>
    </row>
    <row r="192" spans="1:7" ht="13.5" customHeight="1">
      <c r="A192" s="26" t="s">
        <v>118</v>
      </c>
      <c r="B192" s="60" t="s">
        <v>119</v>
      </c>
      <c r="C192" s="26" t="s">
        <v>435</v>
      </c>
      <c r="D192" s="26" t="s">
        <v>441</v>
      </c>
      <c r="E192" s="26" t="s">
        <v>449</v>
      </c>
      <c r="F192" s="61" t="s">
        <v>450</v>
      </c>
      <c r="G192" s="26" t="s">
        <v>125</v>
      </c>
    </row>
    <row r="193" spans="1:7" ht="13.5" customHeight="1">
      <c r="A193" s="26" t="s">
        <v>118</v>
      </c>
      <c r="B193" s="60" t="s">
        <v>119</v>
      </c>
      <c r="C193" s="26" t="s">
        <v>435</v>
      </c>
      <c r="D193" s="26" t="s">
        <v>441</v>
      </c>
      <c r="E193" s="26" t="s">
        <v>451</v>
      </c>
      <c r="F193" s="61" t="s">
        <v>452</v>
      </c>
      <c r="G193" s="26" t="s">
        <v>125</v>
      </c>
    </row>
    <row r="194" spans="1:7" ht="13.5" customHeight="1">
      <c r="A194" s="26" t="s">
        <v>118</v>
      </c>
      <c r="B194" s="60" t="s">
        <v>119</v>
      </c>
      <c r="C194" s="26" t="s">
        <v>435</v>
      </c>
      <c r="D194" s="26" t="s">
        <v>441</v>
      </c>
      <c r="E194" s="26" t="s">
        <v>453</v>
      </c>
      <c r="F194" s="61" t="s">
        <v>454</v>
      </c>
      <c r="G194" s="26" t="s">
        <v>125</v>
      </c>
    </row>
    <row r="195" spans="1:7" ht="13.5" customHeight="1">
      <c r="A195" s="26" t="s">
        <v>118</v>
      </c>
      <c r="B195" s="60" t="s">
        <v>119</v>
      </c>
      <c r="C195" s="26" t="s">
        <v>435</v>
      </c>
      <c r="D195" s="26" t="s">
        <v>441</v>
      </c>
      <c r="E195" s="26" t="s">
        <v>455</v>
      </c>
      <c r="F195" s="61" t="s">
        <v>456</v>
      </c>
      <c r="G195" s="26" t="s">
        <v>125</v>
      </c>
    </row>
    <row r="196" spans="1:7" ht="13.5" customHeight="1">
      <c r="A196" s="26" t="s">
        <v>118</v>
      </c>
      <c r="B196" s="60" t="s">
        <v>119</v>
      </c>
      <c r="C196" s="26" t="s">
        <v>435</v>
      </c>
      <c r="D196" s="26" t="s">
        <v>441</v>
      </c>
      <c r="E196" s="26" t="s">
        <v>457</v>
      </c>
      <c r="F196" s="61" t="s">
        <v>458</v>
      </c>
      <c r="G196" s="26" t="s">
        <v>125</v>
      </c>
    </row>
    <row r="197" spans="1:7" ht="13.5" customHeight="1">
      <c r="A197" s="26" t="s">
        <v>118</v>
      </c>
      <c r="B197" s="60" t="s">
        <v>119</v>
      </c>
      <c r="C197" s="26" t="s">
        <v>435</v>
      </c>
      <c r="D197" s="26" t="s">
        <v>441</v>
      </c>
      <c r="E197" s="26" t="s">
        <v>459</v>
      </c>
      <c r="F197" s="61" t="s">
        <v>460</v>
      </c>
      <c r="G197" s="26" t="s">
        <v>125</v>
      </c>
    </row>
    <row r="198" spans="1:7" ht="13.5" customHeight="1">
      <c r="A198" s="26" t="s">
        <v>118</v>
      </c>
      <c r="B198" s="60" t="s">
        <v>119</v>
      </c>
      <c r="C198" s="26" t="s">
        <v>435</v>
      </c>
      <c r="D198" s="26" t="s">
        <v>441</v>
      </c>
      <c r="E198" s="26" t="s">
        <v>461</v>
      </c>
      <c r="F198" s="61" t="s">
        <v>462</v>
      </c>
      <c r="G198" s="26" t="s">
        <v>125</v>
      </c>
    </row>
    <row r="199" spans="1:7" ht="13.5" customHeight="1">
      <c r="A199" s="26" t="s">
        <v>118</v>
      </c>
      <c r="B199" s="60" t="s">
        <v>119</v>
      </c>
      <c r="C199" s="26" t="s">
        <v>435</v>
      </c>
      <c r="D199" s="26" t="s">
        <v>463</v>
      </c>
      <c r="E199" s="26"/>
      <c r="F199" s="61" t="s">
        <v>464</v>
      </c>
      <c r="G199" s="26"/>
    </row>
    <row r="200" spans="1:7" ht="13.5" customHeight="1">
      <c r="A200" s="26" t="s">
        <v>118</v>
      </c>
      <c r="B200" s="60" t="s">
        <v>119</v>
      </c>
      <c r="C200" s="26" t="s">
        <v>435</v>
      </c>
      <c r="D200" s="26" t="s">
        <v>463</v>
      </c>
      <c r="E200" s="26" t="s">
        <v>465</v>
      </c>
      <c r="F200" s="61" t="s">
        <v>466</v>
      </c>
      <c r="G200" s="26" t="s">
        <v>125</v>
      </c>
    </row>
    <row r="201" spans="1:7" ht="13.5" customHeight="1">
      <c r="A201" s="26" t="s">
        <v>118</v>
      </c>
      <c r="B201" s="60" t="s">
        <v>119</v>
      </c>
      <c r="C201" s="26" t="s">
        <v>435</v>
      </c>
      <c r="D201" s="26" t="s">
        <v>463</v>
      </c>
      <c r="E201" s="26" t="s">
        <v>311</v>
      </c>
      <c r="F201" s="61" t="s">
        <v>467</v>
      </c>
      <c r="G201" s="26" t="s">
        <v>125</v>
      </c>
    </row>
    <row r="202" spans="1:7" ht="13.5" customHeight="1">
      <c r="A202" s="26" t="s">
        <v>118</v>
      </c>
      <c r="B202" s="60" t="s">
        <v>119</v>
      </c>
      <c r="C202" s="26" t="s">
        <v>435</v>
      </c>
      <c r="D202" s="26" t="s">
        <v>463</v>
      </c>
      <c r="E202" s="26" t="s">
        <v>313</v>
      </c>
      <c r="F202" s="61" t="s">
        <v>468</v>
      </c>
      <c r="G202" s="26" t="s">
        <v>125</v>
      </c>
    </row>
    <row r="203" spans="1:7" ht="13.5" customHeight="1">
      <c r="A203" s="26" t="s">
        <v>118</v>
      </c>
      <c r="B203" s="60" t="s">
        <v>119</v>
      </c>
      <c r="C203" s="26" t="s">
        <v>435</v>
      </c>
      <c r="D203" s="26" t="s">
        <v>463</v>
      </c>
      <c r="E203" s="26" t="s">
        <v>315</v>
      </c>
      <c r="F203" s="61" t="s">
        <v>469</v>
      </c>
      <c r="G203" s="26" t="s">
        <v>125</v>
      </c>
    </row>
    <row r="204" spans="1:7" ht="13.5" customHeight="1">
      <c r="A204" s="26" t="s">
        <v>118</v>
      </c>
      <c r="B204" s="60" t="s">
        <v>119</v>
      </c>
      <c r="C204" s="26" t="s">
        <v>435</v>
      </c>
      <c r="D204" s="26" t="s">
        <v>463</v>
      </c>
      <c r="E204" s="26" t="s">
        <v>317</v>
      </c>
      <c r="F204" s="61" t="s">
        <v>470</v>
      </c>
      <c r="G204" s="26" t="s">
        <v>125</v>
      </c>
    </row>
    <row r="205" spans="1:7" ht="13.5" customHeight="1">
      <c r="A205" s="26" t="s">
        <v>118</v>
      </c>
      <c r="B205" s="60" t="s">
        <v>119</v>
      </c>
      <c r="C205" s="26" t="s">
        <v>435</v>
      </c>
      <c r="D205" s="26" t="s">
        <v>463</v>
      </c>
      <c r="E205" s="26" t="s">
        <v>319</v>
      </c>
      <c r="F205" s="61" t="s">
        <v>471</v>
      </c>
      <c r="G205" s="26" t="s">
        <v>125</v>
      </c>
    </row>
    <row r="206" spans="1:7" ht="13.5" customHeight="1">
      <c r="A206" s="26" t="s">
        <v>118</v>
      </c>
      <c r="B206" s="60" t="s">
        <v>119</v>
      </c>
      <c r="C206" s="26" t="s">
        <v>435</v>
      </c>
      <c r="D206" s="26" t="s">
        <v>463</v>
      </c>
      <c r="E206" s="26" t="s">
        <v>321</v>
      </c>
      <c r="F206" s="61" t="s">
        <v>472</v>
      </c>
      <c r="G206" s="26" t="s">
        <v>125</v>
      </c>
    </row>
    <row r="207" spans="1:7" ht="13.5" customHeight="1">
      <c r="A207" s="26" t="s">
        <v>118</v>
      </c>
      <c r="B207" s="60" t="s">
        <v>119</v>
      </c>
      <c r="C207" s="26" t="s">
        <v>435</v>
      </c>
      <c r="D207" s="26" t="s">
        <v>463</v>
      </c>
      <c r="E207" s="26" t="s">
        <v>323</v>
      </c>
      <c r="F207" s="61" t="s">
        <v>473</v>
      </c>
      <c r="G207" s="26" t="s">
        <v>125</v>
      </c>
    </row>
    <row r="208" spans="1:7" ht="13.5" customHeight="1">
      <c r="A208" s="26" t="s">
        <v>118</v>
      </c>
      <c r="B208" s="60" t="s">
        <v>119</v>
      </c>
      <c r="C208" s="26" t="s">
        <v>435</v>
      </c>
      <c r="D208" s="26" t="s">
        <v>463</v>
      </c>
      <c r="E208" s="26" t="s">
        <v>325</v>
      </c>
      <c r="F208" s="61" t="s">
        <v>474</v>
      </c>
      <c r="G208" s="26" t="s">
        <v>125</v>
      </c>
    </row>
    <row r="209" spans="1:7" ht="13.5" customHeight="1">
      <c r="A209" s="26" t="s">
        <v>118</v>
      </c>
      <c r="B209" s="60" t="s">
        <v>119</v>
      </c>
      <c r="C209" s="26" t="s">
        <v>435</v>
      </c>
      <c r="D209" s="26" t="s">
        <v>463</v>
      </c>
      <c r="E209" s="26" t="s">
        <v>475</v>
      </c>
      <c r="F209" s="61" t="s">
        <v>476</v>
      </c>
      <c r="G209" s="26" t="s">
        <v>125</v>
      </c>
    </row>
    <row r="210" spans="1:7" ht="13.5" customHeight="1">
      <c r="A210" s="26" t="s">
        <v>118</v>
      </c>
      <c r="B210" s="60" t="s">
        <v>119</v>
      </c>
      <c r="C210" s="26" t="s">
        <v>435</v>
      </c>
      <c r="D210" s="26" t="s">
        <v>463</v>
      </c>
      <c r="E210" s="26" t="s">
        <v>477</v>
      </c>
      <c r="F210" s="61" t="s">
        <v>478</v>
      </c>
      <c r="G210" s="26" t="s">
        <v>125</v>
      </c>
    </row>
    <row r="211" spans="1:7" ht="13.5" customHeight="1">
      <c r="A211" s="26" t="s">
        <v>118</v>
      </c>
      <c r="B211" s="60" t="s">
        <v>119</v>
      </c>
      <c r="C211" s="26" t="s">
        <v>435</v>
      </c>
      <c r="D211" s="26" t="s">
        <v>463</v>
      </c>
      <c r="E211" s="26" t="s">
        <v>479</v>
      </c>
      <c r="F211" s="61" t="s">
        <v>480</v>
      </c>
      <c r="G211" s="26" t="s">
        <v>125</v>
      </c>
    </row>
    <row r="212" spans="1:7" ht="13.5" customHeight="1">
      <c r="A212" s="26" t="s">
        <v>118</v>
      </c>
      <c r="B212" s="60" t="s">
        <v>119</v>
      </c>
      <c r="C212" s="26" t="s">
        <v>435</v>
      </c>
      <c r="D212" s="26" t="s">
        <v>463</v>
      </c>
      <c r="E212" s="26" t="s">
        <v>481</v>
      </c>
      <c r="F212" s="61" t="s">
        <v>482</v>
      </c>
      <c r="G212" s="26" t="s">
        <v>125</v>
      </c>
    </row>
    <row r="213" spans="1:7" ht="13.5" customHeight="1">
      <c r="A213" s="26" t="s">
        <v>118</v>
      </c>
      <c r="B213" s="60" t="s">
        <v>119</v>
      </c>
      <c r="C213" s="26" t="s">
        <v>435</v>
      </c>
      <c r="D213" s="26" t="s">
        <v>463</v>
      </c>
      <c r="E213" s="26" t="s">
        <v>329</v>
      </c>
      <c r="F213" s="61" t="s">
        <v>483</v>
      </c>
      <c r="G213" s="26" t="s">
        <v>125</v>
      </c>
    </row>
    <row r="214" spans="1:7" ht="13.5" customHeight="1">
      <c r="A214" s="26" t="s">
        <v>118</v>
      </c>
      <c r="B214" s="60" t="s">
        <v>119</v>
      </c>
      <c r="C214" s="26" t="s">
        <v>435</v>
      </c>
      <c r="D214" s="26" t="s">
        <v>484</v>
      </c>
      <c r="E214" s="26" t="s">
        <v>484</v>
      </c>
      <c r="F214" s="61" t="s">
        <v>485</v>
      </c>
      <c r="G214" s="26" t="s">
        <v>125</v>
      </c>
    </row>
    <row r="215" spans="1:7" ht="13.5" customHeight="1">
      <c r="A215" s="26" t="s">
        <v>118</v>
      </c>
      <c r="B215" s="60" t="s">
        <v>119</v>
      </c>
      <c r="C215" s="26" t="s">
        <v>435</v>
      </c>
      <c r="D215" s="26" t="s">
        <v>486</v>
      </c>
      <c r="E215" s="26" t="s">
        <v>486</v>
      </c>
      <c r="F215" s="61" t="s">
        <v>487</v>
      </c>
      <c r="G215" s="26" t="s">
        <v>125</v>
      </c>
    </row>
    <row r="216" spans="1:7" ht="13.5" customHeight="1">
      <c r="A216" s="26" t="s">
        <v>118</v>
      </c>
      <c r="B216" s="60" t="s">
        <v>119</v>
      </c>
      <c r="C216" s="26" t="s">
        <v>435</v>
      </c>
      <c r="D216" s="26" t="s">
        <v>488</v>
      </c>
      <c r="E216" s="26" t="s">
        <v>488</v>
      </c>
      <c r="F216" s="61" t="s">
        <v>489</v>
      </c>
      <c r="G216" s="26" t="s">
        <v>125</v>
      </c>
    </row>
    <row r="217" spans="1:7" ht="13.5" customHeight="1">
      <c r="A217" s="26" t="s">
        <v>118</v>
      </c>
      <c r="B217" s="60" t="s">
        <v>119</v>
      </c>
      <c r="C217" s="26" t="s">
        <v>435</v>
      </c>
      <c r="D217" s="26" t="s">
        <v>490</v>
      </c>
      <c r="E217" s="26" t="s">
        <v>490</v>
      </c>
      <c r="F217" s="61" t="s">
        <v>491</v>
      </c>
      <c r="G217" s="26" t="s">
        <v>125</v>
      </c>
    </row>
    <row r="218" spans="1:7" ht="13.5" customHeight="1">
      <c r="A218" s="26" t="s">
        <v>118</v>
      </c>
      <c r="B218" s="60" t="s">
        <v>119</v>
      </c>
      <c r="C218" s="26" t="s">
        <v>435</v>
      </c>
      <c r="D218" s="26" t="s">
        <v>492</v>
      </c>
      <c r="E218" s="26" t="s">
        <v>492</v>
      </c>
      <c r="F218" s="61" t="s">
        <v>493</v>
      </c>
      <c r="G218" s="26" t="s">
        <v>125</v>
      </c>
    </row>
    <row r="219" spans="1:7" ht="13.5" customHeight="1">
      <c r="A219" s="26" t="s">
        <v>118</v>
      </c>
      <c r="B219" s="60" t="s">
        <v>119</v>
      </c>
      <c r="C219" s="26" t="s">
        <v>435</v>
      </c>
      <c r="D219" s="26" t="s">
        <v>494</v>
      </c>
      <c r="E219" s="26" t="s">
        <v>494</v>
      </c>
      <c r="F219" s="61" t="s">
        <v>495</v>
      </c>
      <c r="G219" s="26" t="s">
        <v>125</v>
      </c>
    </row>
    <row r="220" spans="1:7" ht="13.5" customHeight="1">
      <c r="A220" s="26" t="s">
        <v>118</v>
      </c>
      <c r="B220" s="60" t="s">
        <v>119</v>
      </c>
      <c r="C220" s="26" t="s">
        <v>496</v>
      </c>
      <c r="D220" s="26"/>
      <c r="E220" s="26"/>
      <c r="F220" s="61" t="s">
        <v>497</v>
      </c>
      <c r="G220" s="26"/>
    </row>
    <row r="221" spans="1:7" ht="13.5" customHeight="1">
      <c r="A221" s="26" t="s">
        <v>118</v>
      </c>
      <c r="B221" s="60" t="s">
        <v>119</v>
      </c>
      <c r="C221" s="26" t="s">
        <v>496</v>
      </c>
      <c r="D221" s="26" t="s">
        <v>498</v>
      </c>
      <c r="E221" s="26" t="s">
        <v>498</v>
      </c>
      <c r="F221" s="61" t="s">
        <v>499</v>
      </c>
      <c r="G221" s="26" t="s">
        <v>125</v>
      </c>
    </row>
    <row r="222" spans="1:7" ht="13.5" customHeight="1">
      <c r="A222" s="26" t="s">
        <v>118</v>
      </c>
      <c r="B222" s="60" t="s">
        <v>119</v>
      </c>
      <c r="C222" s="26" t="s">
        <v>496</v>
      </c>
      <c r="D222" s="26" t="s">
        <v>498</v>
      </c>
      <c r="E222" s="26"/>
      <c r="F222" s="61" t="s">
        <v>500</v>
      </c>
      <c r="G222" s="26"/>
    </row>
    <row r="223" spans="1:7" ht="13.5" customHeight="1">
      <c r="A223" s="26" t="s">
        <v>118</v>
      </c>
      <c r="B223" s="60" t="s">
        <v>119</v>
      </c>
      <c r="C223" s="26" t="s">
        <v>496</v>
      </c>
      <c r="D223" s="26" t="s">
        <v>498</v>
      </c>
      <c r="E223" s="26" t="s">
        <v>501</v>
      </c>
      <c r="F223" s="61" t="s">
        <v>502</v>
      </c>
      <c r="G223" s="26" t="s">
        <v>125</v>
      </c>
    </row>
    <row r="224" spans="1:7" ht="13.5" customHeight="1">
      <c r="A224" s="26" t="s">
        <v>118</v>
      </c>
      <c r="B224" s="60" t="s">
        <v>119</v>
      </c>
      <c r="C224" s="26" t="s">
        <v>496</v>
      </c>
      <c r="D224" s="26" t="s">
        <v>503</v>
      </c>
      <c r="E224" s="26" t="s">
        <v>503</v>
      </c>
      <c r="F224" s="61" t="s">
        <v>504</v>
      </c>
      <c r="G224" s="26" t="s">
        <v>125</v>
      </c>
    </row>
    <row r="225" spans="1:7" ht="13.5" customHeight="1">
      <c r="A225" s="26" t="s">
        <v>118</v>
      </c>
      <c r="B225" s="60" t="s">
        <v>119</v>
      </c>
      <c r="C225" s="26" t="s">
        <v>496</v>
      </c>
      <c r="D225" s="26" t="s">
        <v>505</v>
      </c>
      <c r="E225" s="26" t="s">
        <v>505</v>
      </c>
      <c r="F225" s="61" t="s">
        <v>506</v>
      </c>
      <c r="G225" s="26" t="s">
        <v>125</v>
      </c>
    </row>
    <row r="226" spans="1:7" ht="13.5" customHeight="1">
      <c r="A226" s="26" t="s">
        <v>118</v>
      </c>
      <c r="B226" s="60" t="s">
        <v>119</v>
      </c>
      <c r="C226" s="26" t="s">
        <v>507</v>
      </c>
      <c r="D226" s="26" t="s">
        <v>507</v>
      </c>
      <c r="E226" s="26" t="s">
        <v>507</v>
      </c>
      <c r="F226" s="61" t="s">
        <v>508</v>
      </c>
      <c r="G226" s="26" t="s">
        <v>125</v>
      </c>
    </row>
    <row r="227" spans="1:7" ht="13.5" customHeight="1">
      <c r="A227" s="26" t="s">
        <v>118</v>
      </c>
      <c r="B227" s="60" t="s">
        <v>119</v>
      </c>
      <c r="C227" s="26" t="s">
        <v>509</v>
      </c>
      <c r="D227" s="26"/>
      <c r="E227" s="26"/>
      <c r="F227" s="61" t="s">
        <v>510</v>
      </c>
      <c r="G227" s="26"/>
    </row>
    <row r="228" spans="1:7" ht="13.5" customHeight="1">
      <c r="A228" s="26" t="s">
        <v>118</v>
      </c>
      <c r="B228" s="60" t="s">
        <v>119</v>
      </c>
      <c r="C228" s="26" t="s">
        <v>509</v>
      </c>
      <c r="D228" s="26" t="s">
        <v>511</v>
      </c>
      <c r="E228" s="26" t="s">
        <v>511</v>
      </c>
      <c r="F228" s="61" t="s">
        <v>512</v>
      </c>
      <c r="G228" s="26" t="s">
        <v>125</v>
      </c>
    </row>
    <row r="229" spans="1:7" ht="13.5" customHeight="1">
      <c r="A229" s="26" t="s">
        <v>118</v>
      </c>
      <c r="B229" s="60" t="s">
        <v>119</v>
      </c>
      <c r="C229" s="26" t="s">
        <v>509</v>
      </c>
      <c r="D229" s="26" t="s">
        <v>513</v>
      </c>
      <c r="E229" s="26" t="s">
        <v>513</v>
      </c>
      <c r="F229" s="61" t="s">
        <v>514</v>
      </c>
      <c r="G229" s="26" t="s">
        <v>125</v>
      </c>
    </row>
    <row r="230" spans="1:7" ht="13.5" customHeight="1">
      <c r="A230" s="26" t="s">
        <v>118</v>
      </c>
      <c r="B230" s="60" t="s">
        <v>119</v>
      </c>
      <c r="C230" s="26" t="s">
        <v>509</v>
      </c>
      <c r="D230" s="26" t="s">
        <v>515</v>
      </c>
      <c r="E230" s="26" t="s">
        <v>515</v>
      </c>
      <c r="F230" s="61" t="s">
        <v>516</v>
      </c>
      <c r="G230" s="26" t="s">
        <v>125</v>
      </c>
    </row>
    <row r="231" spans="1:7" ht="13.5" customHeight="1">
      <c r="A231" s="26" t="s">
        <v>118</v>
      </c>
      <c r="B231" s="60" t="s">
        <v>119</v>
      </c>
      <c r="C231" s="26" t="s">
        <v>509</v>
      </c>
      <c r="D231" s="26" t="s">
        <v>517</v>
      </c>
      <c r="E231" s="26" t="s">
        <v>517</v>
      </c>
      <c r="F231" s="61" t="s">
        <v>518</v>
      </c>
      <c r="G231" s="26" t="s">
        <v>125</v>
      </c>
    </row>
    <row r="232" spans="1:7" ht="13.5" customHeight="1">
      <c r="A232" s="26" t="s">
        <v>118</v>
      </c>
      <c r="B232" s="60" t="s">
        <v>119</v>
      </c>
      <c r="C232" s="26" t="s">
        <v>509</v>
      </c>
      <c r="D232" s="26" t="s">
        <v>519</v>
      </c>
      <c r="E232" s="26"/>
      <c r="F232" s="61" t="s">
        <v>520</v>
      </c>
      <c r="G232" s="26"/>
    </row>
    <row r="233" spans="1:7" ht="13.5" customHeight="1">
      <c r="A233" s="26" t="s">
        <v>118</v>
      </c>
      <c r="B233" s="60" t="s">
        <v>119</v>
      </c>
      <c r="C233" s="26" t="s">
        <v>509</v>
      </c>
      <c r="D233" s="26" t="s">
        <v>519</v>
      </c>
      <c r="E233" s="26" t="s">
        <v>521</v>
      </c>
      <c r="F233" s="61" t="s">
        <v>522</v>
      </c>
      <c r="G233" s="26" t="s">
        <v>125</v>
      </c>
    </row>
    <row r="234" spans="1:7" ht="13.5" customHeight="1">
      <c r="A234" s="26" t="s">
        <v>118</v>
      </c>
      <c r="B234" s="60" t="s">
        <v>119</v>
      </c>
      <c r="C234" s="26" t="s">
        <v>509</v>
      </c>
      <c r="D234" s="26" t="s">
        <v>519</v>
      </c>
      <c r="E234" s="26" t="s">
        <v>523</v>
      </c>
      <c r="F234" s="61" t="s">
        <v>524</v>
      </c>
      <c r="G234" s="26" t="s">
        <v>125</v>
      </c>
    </row>
    <row r="235" spans="1:7" ht="13.5" customHeight="1">
      <c r="A235" s="26" t="s">
        <v>118</v>
      </c>
      <c r="B235" s="60" t="s">
        <v>119</v>
      </c>
      <c r="C235" s="26" t="s">
        <v>509</v>
      </c>
      <c r="D235" s="26" t="s">
        <v>519</v>
      </c>
      <c r="E235" s="26" t="s">
        <v>525</v>
      </c>
      <c r="F235" s="61" t="s">
        <v>526</v>
      </c>
      <c r="G235" s="26" t="s">
        <v>125</v>
      </c>
    </row>
    <row r="236" spans="1:7" ht="13.5" customHeight="1">
      <c r="A236" s="26" t="s">
        <v>118</v>
      </c>
      <c r="B236" s="60" t="s">
        <v>119</v>
      </c>
      <c r="C236" s="26" t="s">
        <v>509</v>
      </c>
      <c r="D236" s="26" t="s">
        <v>519</v>
      </c>
      <c r="E236" s="26" t="s">
        <v>527</v>
      </c>
      <c r="F236" s="61" t="s">
        <v>528</v>
      </c>
      <c r="G236" s="26" t="s">
        <v>125</v>
      </c>
    </row>
    <row r="237" spans="1:7" ht="13.5" customHeight="1">
      <c r="A237" s="26" t="s">
        <v>118</v>
      </c>
      <c r="B237" s="60" t="s">
        <v>119</v>
      </c>
      <c r="C237" s="26" t="s">
        <v>509</v>
      </c>
      <c r="D237" s="26" t="s">
        <v>519</v>
      </c>
      <c r="E237" s="26" t="s">
        <v>529</v>
      </c>
      <c r="F237" s="61" t="s">
        <v>530</v>
      </c>
      <c r="G237" s="26" t="s">
        <v>125</v>
      </c>
    </row>
    <row r="238" spans="1:7" ht="13.5" customHeight="1">
      <c r="A238" s="26" t="s">
        <v>118</v>
      </c>
      <c r="B238" s="60" t="s">
        <v>119</v>
      </c>
      <c r="C238" s="26" t="s">
        <v>509</v>
      </c>
      <c r="D238" s="26" t="s">
        <v>519</v>
      </c>
      <c r="E238" s="26" t="s">
        <v>531</v>
      </c>
      <c r="F238" s="61" t="s">
        <v>532</v>
      </c>
      <c r="G238" s="26" t="s">
        <v>125</v>
      </c>
    </row>
    <row r="239" spans="1:7" ht="13.5" customHeight="1">
      <c r="A239" s="26" t="s">
        <v>118</v>
      </c>
      <c r="B239" s="60" t="s">
        <v>119</v>
      </c>
      <c r="C239" s="26" t="s">
        <v>509</v>
      </c>
      <c r="D239" s="26" t="s">
        <v>519</v>
      </c>
      <c r="E239" s="26" t="s">
        <v>533</v>
      </c>
      <c r="F239" s="61" t="s">
        <v>534</v>
      </c>
      <c r="G239" s="26" t="s">
        <v>125</v>
      </c>
    </row>
    <row r="240" spans="1:7" ht="13.5" customHeight="1">
      <c r="A240" s="26" t="s">
        <v>118</v>
      </c>
      <c r="B240" s="60" t="s">
        <v>119</v>
      </c>
      <c r="C240" s="26" t="s">
        <v>509</v>
      </c>
      <c r="D240" s="26" t="s">
        <v>519</v>
      </c>
      <c r="E240" s="26" t="s">
        <v>535</v>
      </c>
      <c r="F240" s="61" t="s">
        <v>536</v>
      </c>
      <c r="G240" s="26" t="s">
        <v>125</v>
      </c>
    </row>
    <row r="241" spans="1:7" ht="13.5" customHeight="1">
      <c r="A241" s="26" t="s">
        <v>118</v>
      </c>
      <c r="B241" s="60" t="s">
        <v>119</v>
      </c>
      <c r="C241" s="26" t="s">
        <v>509</v>
      </c>
      <c r="D241" s="26" t="s">
        <v>537</v>
      </c>
      <c r="E241" s="26" t="s">
        <v>537</v>
      </c>
      <c r="F241" s="61" t="s">
        <v>538</v>
      </c>
      <c r="G241" s="26" t="s">
        <v>125</v>
      </c>
    </row>
    <row r="242" spans="1:7" ht="13.5" customHeight="1">
      <c r="A242" s="26" t="s">
        <v>118</v>
      </c>
      <c r="B242" s="60" t="s">
        <v>119</v>
      </c>
      <c r="C242" s="26" t="s">
        <v>509</v>
      </c>
      <c r="D242" s="26" t="s">
        <v>539</v>
      </c>
      <c r="E242" s="26"/>
      <c r="F242" s="61" t="s">
        <v>540</v>
      </c>
      <c r="G242" s="26"/>
    </row>
    <row r="243" spans="1:7" ht="13.5" customHeight="1">
      <c r="A243" s="26" t="s">
        <v>118</v>
      </c>
      <c r="B243" s="60" t="s">
        <v>119</v>
      </c>
      <c r="C243" s="26" t="s">
        <v>509</v>
      </c>
      <c r="D243" s="26" t="s">
        <v>539</v>
      </c>
      <c r="E243" s="26" t="s">
        <v>541</v>
      </c>
      <c r="F243" s="61" t="s">
        <v>542</v>
      </c>
      <c r="G243" s="26" t="s">
        <v>125</v>
      </c>
    </row>
    <row r="244" spans="1:7" ht="13.5" customHeight="1">
      <c r="A244" s="26" t="s">
        <v>118</v>
      </c>
      <c r="B244" s="60" t="s">
        <v>119</v>
      </c>
      <c r="C244" s="26" t="s">
        <v>509</v>
      </c>
      <c r="D244" s="26" t="s">
        <v>539</v>
      </c>
      <c r="E244" s="26" t="s">
        <v>543</v>
      </c>
      <c r="F244" s="61" t="s">
        <v>544</v>
      </c>
      <c r="G244" s="26" t="s">
        <v>125</v>
      </c>
    </row>
    <row r="245" spans="1:7" ht="13.5" customHeight="1">
      <c r="A245" s="26" t="s">
        <v>118</v>
      </c>
      <c r="B245" s="60" t="s">
        <v>119</v>
      </c>
      <c r="C245" s="26" t="s">
        <v>509</v>
      </c>
      <c r="D245" s="26" t="s">
        <v>539</v>
      </c>
      <c r="E245" s="26" t="s">
        <v>545</v>
      </c>
      <c r="F245" s="61" t="s">
        <v>546</v>
      </c>
      <c r="G245" s="26" t="s">
        <v>125</v>
      </c>
    </row>
    <row r="246" spans="1:7" ht="13.5" customHeight="1">
      <c r="A246" s="26" t="s">
        <v>118</v>
      </c>
      <c r="B246" s="60" t="s">
        <v>119</v>
      </c>
      <c r="C246" s="26" t="s">
        <v>509</v>
      </c>
      <c r="D246" s="26" t="s">
        <v>539</v>
      </c>
      <c r="E246" s="26" t="s">
        <v>547</v>
      </c>
      <c r="F246" s="61" t="s">
        <v>548</v>
      </c>
      <c r="G246" s="26" t="s">
        <v>125</v>
      </c>
    </row>
    <row r="247" spans="1:7" ht="13.5" customHeight="1">
      <c r="A247" s="26" t="s">
        <v>118</v>
      </c>
      <c r="B247" s="60" t="s">
        <v>119</v>
      </c>
      <c r="C247" s="26" t="s">
        <v>509</v>
      </c>
      <c r="D247" s="26" t="s">
        <v>539</v>
      </c>
      <c r="E247" s="26" t="s">
        <v>549</v>
      </c>
      <c r="F247" s="61" t="s">
        <v>550</v>
      </c>
      <c r="G247" s="26" t="s">
        <v>125</v>
      </c>
    </row>
    <row r="248" spans="1:7" ht="13.5" customHeight="1">
      <c r="A248" s="26" t="s">
        <v>118</v>
      </c>
      <c r="B248" s="60" t="s">
        <v>119</v>
      </c>
      <c r="C248" s="26" t="s">
        <v>509</v>
      </c>
      <c r="D248" s="26" t="s">
        <v>551</v>
      </c>
      <c r="E248" s="26" t="s">
        <v>551</v>
      </c>
      <c r="F248" s="61" t="s">
        <v>552</v>
      </c>
      <c r="G248" s="26" t="s">
        <v>125</v>
      </c>
    </row>
    <row r="249" spans="1:7" ht="13.5" customHeight="1">
      <c r="A249" s="26" t="s">
        <v>118</v>
      </c>
      <c r="B249" s="60" t="s">
        <v>119</v>
      </c>
      <c r="C249" s="26" t="s">
        <v>509</v>
      </c>
      <c r="D249" s="26" t="s">
        <v>553</v>
      </c>
      <c r="E249" s="26" t="s">
        <v>553</v>
      </c>
      <c r="F249" s="61" t="s">
        <v>554</v>
      </c>
      <c r="G249" s="26" t="s">
        <v>125</v>
      </c>
    </row>
    <row r="250" spans="1:7" ht="13.5" customHeight="1">
      <c r="A250" s="26" t="s">
        <v>118</v>
      </c>
      <c r="B250" s="60" t="s">
        <v>119</v>
      </c>
      <c r="C250" s="26" t="s">
        <v>509</v>
      </c>
      <c r="D250" s="26" t="s">
        <v>509</v>
      </c>
      <c r="E250" s="26" t="s">
        <v>509</v>
      </c>
      <c r="F250" s="61" t="s">
        <v>555</v>
      </c>
      <c r="G250" s="26" t="s">
        <v>556</v>
      </c>
    </row>
    <row r="251" spans="1:7" ht="13.5" customHeight="1">
      <c r="A251" s="26" t="s">
        <v>118</v>
      </c>
      <c r="B251" s="60" t="s">
        <v>119</v>
      </c>
      <c r="C251" s="26" t="s">
        <v>509</v>
      </c>
      <c r="D251" s="26" t="s">
        <v>509</v>
      </c>
      <c r="E251" s="26"/>
      <c r="F251" s="61" t="s">
        <v>555</v>
      </c>
      <c r="G251" s="26"/>
    </row>
    <row r="252" spans="1:7" ht="13.5" customHeight="1">
      <c r="A252" s="26" t="s">
        <v>118</v>
      </c>
      <c r="B252" s="60" t="s">
        <v>119</v>
      </c>
      <c r="C252" s="26" t="s">
        <v>509</v>
      </c>
      <c r="D252" s="26" t="s">
        <v>509</v>
      </c>
      <c r="E252" s="26" t="s">
        <v>557</v>
      </c>
      <c r="F252" s="61" t="s">
        <v>558</v>
      </c>
      <c r="G252" s="26" t="s">
        <v>125</v>
      </c>
    </row>
    <row r="253" spans="1:7" ht="13.5" customHeight="1">
      <c r="A253" s="26" t="s">
        <v>118</v>
      </c>
      <c r="B253" s="60" t="s">
        <v>119</v>
      </c>
      <c r="C253" s="26" t="s">
        <v>509</v>
      </c>
      <c r="D253" s="26" t="s">
        <v>509</v>
      </c>
      <c r="E253" s="26" t="s">
        <v>509</v>
      </c>
      <c r="F253" s="61" t="s">
        <v>559</v>
      </c>
      <c r="G253" s="26" t="s">
        <v>125</v>
      </c>
    </row>
    <row r="254" spans="1:7" ht="13.5" customHeight="1">
      <c r="A254" s="26" t="s">
        <v>118</v>
      </c>
      <c r="B254" s="60" t="s">
        <v>560</v>
      </c>
      <c r="C254" s="26"/>
      <c r="D254" s="26"/>
      <c r="E254" s="26"/>
      <c r="F254" s="61" t="s">
        <v>561</v>
      </c>
      <c r="G254" s="26"/>
    </row>
    <row r="255" spans="1:7" ht="13.5" customHeight="1">
      <c r="A255" s="26" t="s">
        <v>118</v>
      </c>
      <c r="B255" s="60" t="s">
        <v>560</v>
      </c>
      <c r="C255" s="26" t="s">
        <v>562</v>
      </c>
      <c r="D255" s="26"/>
      <c r="E255" s="26"/>
      <c r="F255" s="61" t="s">
        <v>563</v>
      </c>
      <c r="G255" s="26"/>
    </row>
    <row r="256" spans="1:7" ht="13.5" customHeight="1">
      <c r="A256" s="26" t="s">
        <v>118</v>
      </c>
      <c r="B256" s="60" t="s">
        <v>560</v>
      </c>
      <c r="C256" s="26" t="s">
        <v>562</v>
      </c>
      <c r="D256" s="26" t="s">
        <v>564</v>
      </c>
      <c r="E256" s="26" t="s">
        <v>564</v>
      </c>
      <c r="F256" s="61" t="s">
        <v>565</v>
      </c>
      <c r="G256" s="26" t="s">
        <v>125</v>
      </c>
    </row>
    <row r="257" spans="1:7" ht="13.5" customHeight="1">
      <c r="A257" s="26" t="s">
        <v>118</v>
      </c>
      <c r="B257" s="60" t="s">
        <v>560</v>
      </c>
      <c r="C257" s="26" t="s">
        <v>562</v>
      </c>
      <c r="D257" s="26" t="s">
        <v>564</v>
      </c>
      <c r="E257" s="26"/>
      <c r="F257" s="61" t="s">
        <v>566</v>
      </c>
      <c r="G257" s="26"/>
    </row>
    <row r="258" spans="1:7" ht="13.5" customHeight="1">
      <c r="A258" s="26" t="s">
        <v>118</v>
      </c>
      <c r="B258" s="60" t="s">
        <v>560</v>
      </c>
      <c r="C258" s="26" t="s">
        <v>562</v>
      </c>
      <c r="D258" s="26" t="s">
        <v>564</v>
      </c>
      <c r="E258" s="26" t="s">
        <v>311</v>
      </c>
      <c r="F258" s="61" t="s">
        <v>567</v>
      </c>
      <c r="G258" s="26" t="s">
        <v>125</v>
      </c>
    </row>
    <row r="259" spans="1:7" ht="13.5" customHeight="1">
      <c r="A259" s="26" t="s">
        <v>118</v>
      </c>
      <c r="B259" s="60" t="s">
        <v>560</v>
      </c>
      <c r="C259" s="26" t="s">
        <v>562</v>
      </c>
      <c r="D259" s="26" t="s">
        <v>564</v>
      </c>
      <c r="E259" s="26" t="s">
        <v>313</v>
      </c>
      <c r="F259" s="61" t="s">
        <v>568</v>
      </c>
      <c r="G259" s="26" t="s">
        <v>125</v>
      </c>
    </row>
    <row r="260" spans="1:7" ht="13.5" customHeight="1">
      <c r="A260" s="26" t="s">
        <v>118</v>
      </c>
      <c r="B260" s="60" t="s">
        <v>560</v>
      </c>
      <c r="C260" s="26" t="s">
        <v>562</v>
      </c>
      <c r="D260" s="26" t="s">
        <v>564</v>
      </c>
      <c r="E260" s="26" t="s">
        <v>315</v>
      </c>
      <c r="F260" s="61" t="s">
        <v>569</v>
      </c>
      <c r="G260" s="26" t="s">
        <v>125</v>
      </c>
    </row>
    <row r="261" spans="1:7" ht="13.5" customHeight="1">
      <c r="A261" s="26" t="s">
        <v>118</v>
      </c>
      <c r="B261" s="60" t="s">
        <v>560</v>
      </c>
      <c r="C261" s="26" t="s">
        <v>562</v>
      </c>
      <c r="D261" s="26" t="s">
        <v>564</v>
      </c>
      <c r="E261" s="26" t="s">
        <v>317</v>
      </c>
      <c r="F261" s="61" t="s">
        <v>570</v>
      </c>
      <c r="G261" s="26" t="s">
        <v>125</v>
      </c>
    </row>
    <row r="262" spans="1:7" ht="13.5" customHeight="1">
      <c r="A262" s="26" t="s">
        <v>118</v>
      </c>
      <c r="B262" s="60" t="s">
        <v>560</v>
      </c>
      <c r="C262" s="26" t="s">
        <v>562</v>
      </c>
      <c r="D262" s="26" t="s">
        <v>564</v>
      </c>
      <c r="E262" s="26" t="s">
        <v>319</v>
      </c>
      <c r="F262" s="61" t="s">
        <v>571</v>
      </c>
      <c r="G262" s="26" t="s">
        <v>125</v>
      </c>
    </row>
    <row r="263" spans="1:7" ht="13.5" customHeight="1">
      <c r="A263" s="26" t="s">
        <v>118</v>
      </c>
      <c r="B263" s="60" t="s">
        <v>560</v>
      </c>
      <c r="C263" s="26" t="s">
        <v>562</v>
      </c>
      <c r="D263" s="26" t="s">
        <v>564</v>
      </c>
      <c r="E263" s="26" t="s">
        <v>321</v>
      </c>
      <c r="F263" s="61" t="s">
        <v>572</v>
      </c>
      <c r="G263" s="26" t="s">
        <v>125</v>
      </c>
    </row>
    <row r="264" spans="1:7" ht="13.5" customHeight="1">
      <c r="A264" s="26" t="s">
        <v>118</v>
      </c>
      <c r="B264" s="60" t="s">
        <v>560</v>
      </c>
      <c r="C264" s="26" t="s">
        <v>562</v>
      </c>
      <c r="D264" s="26" t="s">
        <v>564</v>
      </c>
      <c r="E264" s="26" t="s">
        <v>323</v>
      </c>
      <c r="F264" s="61" t="s">
        <v>573</v>
      </c>
      <c r="G264" s="26" t="s">
        <v>125</v>
      </c>
    </row>
    <row r="265" spans="1:7" ht="13.5" customHeight="1">
      <c r="A265" s="26" t="s">
        <v>118</v>
      </c>
      <c r="B265" s="60" t="s">
        <v>560</v>
      </c>
      <c r="C265" s="26" t="s">
        <v>562</v>
      </c>
      <c r="D265" s="26" t="s">
        <v>564</v>
      </c>
      <c r="E265" s="26" t="s">
        <v>325</v>
      </c>
      <c r="F265" s="61" t="s">
        <v>574</v>
      </c>
      <c r="G265" s="26" t="s">
        <v>125</v>
      </c>
    </row>
    <row r="266" spans="1:7" ht="13.5" customHeight="1">
      <c r="A266" s="26" t="s">
        <v>118</v>
      </c>
      <c r="B266" s="60" t="s">
        <v>560</v>
      </c>
      <c r="C266" s="26" t="s">
        <v>562</v>
      </c>
      <c r="D266" s="26" t="s">
        <v>564</v>
      </c>
      <c r="E266" s="26" t="s">
        <v>475</v>
      </c>
      <c r="F266" s="61" t="s">
        <v>575</v>
      </c>
      <c r="G266" s="26" t="s">
        <v>125</v>
      </c>
    </row>
    <row r="267" spans="1:7" ht="13.5" customHeight="1">
      <c r="A267" s="26" t="s">
        <v>118</v>
      </c>
      <c r="B267" s="60" t="s">
        <v>560</v>
      </c>
      <c r="C267" s="26" t="s">
        <v>562</v>
      </c>
      <c r="D267" s="26" t="s">
        <v>564</v>
      </c>
      <c r="E267" s="26" t="s">
        <v>479</v>
      </c>
      <c r="F267" s="61" t="s">
        <v>576</v>
      </c>
      <c r="G267" s="26" t="s">
        <v>125</v>
      </c>
    </row>
    <row r="268" spans="1:7" ht="13.5" customHeight="1">
      <c r="A268" s="26" t="s">
        <v>118</v>
      </c>
      <c r="B268" s="60" t="s">
        <v>560</v>
      </c>
      <c r="C268" s="26" t="s">
        <v>562</v>
      </c>
      <c r="D268" s="26" t="s">
        <v>564</v>
      </c>
      <c r="E268" s="26" t="s">
        <v>481</v>
      </c>
      <c r="F268" s="61" t="s">
        <v>577</v>
      </c>
      <c r="G268" s="26" t="s">
        <v>125</v>
      </c>
    </row>
    <row r="269" spans="1:7" ht="13.5" customHeight="1">
      <c r="A269" s="26" t="s">
        <v>118</v>
      </c>
      <c r="B269" s="60" t="s">
        <v>560</v>
      </c>
      <c r="C269" s="26" t="s">
        <v>562</v>
      </c>
      <c r="D269" s="26" t="s">
        <v>564</v>
      </c>
      <c r="E269" s="26" t="s">
        <v>329</v>
      </c>
      <c r="F269" s="61" t="s">
        <v>578</v>
      </c>
      <c r="G269" s="26" t="s">
        <v>125</v>
      </c>
    </row>
    <row r="270" spans="1:7" ht="13.5" customHeight="1">
      <c r="A270" s="26" t="s">
        <v>118</v>
      </c>
      <c r="B270" s="60" t="s">
        <v>560</v>
      </c>
      <c r="C270" s="26" t="s">
        <v>562</v>
      </c>
      <c r="D270" s="26" t="s">
        <v>579</v>
      </c>
      <c r="E270" s="26" t="s">
        <v>579</v>
      </c>
      <c r="F270" s="61" t="s">
        <v>580</v>
      </c>
      <c r="G270" s="26" t="s">
        <v>125</v>
      </c>
    </row>
    <row r="271" spans="1:7" ht="13.5" customHeight="1">
      <c r="A271" s="26" t="s">
        <v>118</v>
      </c>
      <c r="B271" s="60" t="s">
        <v>560</v>
      </c>
      <c r="C271" s="26" t="s">
        <v>581</v>
      </c>
      <c r="D271" s="26"/>
      <c r="E271" s="26"/>
      <c r="F271" s="61" t="s">
        <v>582</v>
      </c>
      <c r="G271" s="26"/>
    </row>
    <row r="272" spans="1:7" ht="13.5" customHeight="1">
      <c r="A272" s="26" t="s">
        <v>118</v>
      </c>
      <c r="B272" s="60" t="s">
        <v>560</v>
      </c>
      <c r="C272" s="26" t="s">
        <v>581</v>
      </c>
      <c r="D272" s="26" t="s">
        <v>583</v>
      </c>
      <c r="E272" s="26" t="s">
        <v>583</v>
      </c>
      <c r="F272" s="61" t="s">
        <v>584</v>
      </c>
      <c r="G272" s="26" t="s">
        <v>125</v>
      </c>
    </row>
    <row r="273" spans="1:7" ht="13.5" customHeight="1">
      <c r="A273" s="26" t="s">
        <v>118</v>
      </c>
      <c r="B273" s="60" t="s">
        <v>560</v>
      </c>
      <c r="C273" s="26" t="s">
        <v>581</v>
      </c>
      <c r="D273" s="26" t="s">
        <v>585</v>
      </c>
      <c r="E273" s="26" t="s">
        <v>585</v>
      </c>
      <c r="F273" s="61" t="s">
        <v>586</v>
      </c>
      <c r="G273" s="26" t="s">
        <v>125</v>
      </c>
    </row>
    <row r="274" spans="1:7" ht="13.5" customHeight="1">
      <c r="A274" s="26" t="s">
        <v>118</v>
      </c>
      <c r="B274" s="60" t="s">
        <v>560</v>
      </c>
      <c r="C274" s="26" t="s">
        <v>581</v>
      </c>
      <c r="D274" s="26" t="s">
        <v>587</v>
      </c>
      <c r="E274" s="26" t="s">
        <v>587</v>
      </c>
      <c r="F274" s="61" t="s">
        <v>588</v>
      </c>
      <c r="G274" s="26" t="s">
        <v>125</v>
      </c>
    </row>
    <row r="275" spans="1:7" ht="13.5" customHeight="1">
      <c r="A275" s="26" t="s">
        <v>118</v>
      </c>
      <c r="B275" s="60" t="s">
        <v>560</v>
      </c>
      <c r="C275" s="26" t="s">
        <v>589</v>
      </c>
      <c r="D275" s="26"/>
      <c r="E275" s="26"/>
      <c r="F275" s="61" t="s">
        <v>590</v>
      </c>
      <c r="G275" s="26"/>
    </row>
    <row r="276" spans="1:7" ht="13.5" customHeight="1">
      <c r="A276" s="26" t="s">
        <v>118</v>
      </c>
      <c r="B276" s="60" t="s">
        <v>560</v>
      </c>
      <c r="C276" s="26" t="s">
        <v>589</v>
      </c>
      <c r="D276" s="26" t="s">
        <v>591</v>
      </c>
      <c r="E276" s="26"/>
      <c r="F276" s="61" t="s">
        <v>592</v>
      </c>
      <c r="G276" s="26"/>
    </row>
    <row r="277" spans="1:7" ht="13.5" customHeight="1">
      <c r="A277" s="26" t="s">
        <v>118</v>
      </c>
      <c r="B277" s="60" t="s">
        <v>560</v>
      </c>
      <c r="C277" s="26" t="s">
        <v>589</v>
      </c>
      <c r="D277" s="26" t="s">
        <v>591</v>
      </c>
      <c r="E277" s="26" t="s">
        <v>593</v>
      </c>
      <c r="F277" s="61" t="s">
        <v>594</v>
      </c>
      <c r="G277" s="26" t="s">
        <v>125</v>
      </c>
    </row>
    <row r="278" spans="1:7" ht="13.5" customHeight="1">
      <c r="A278" s="26" t="s">
        <v>118</v>
      </c>
      <c r="B278" s="60" t="s">
        <v>560</v>
      </c>
      <c r="C278" s="26" t="s">
        <v>589</v>
      </c>
      <c r="D278" s="26" t="s">
        <v>591</v>
      </c>
      <c r="E278" s="26" t="s">
        <v>595</v>
      </c>
      <c r="F278" s="61" t="s">
        <v>596</v>
      </c>
      <c r="G278" s="26" t="s">
        <v>125</v>
      </c>
    </row>
    <row r="279" spans="1:7" ht="13.5" customHeight="1">
      <c r="A279" s="26" t="s">
        <v>118</v>
      </c>
      <c r="B279" s="60" t="s">
        <v>560</v>
      </c>
      <c r="C279" s="26" t="s">
        <v>597</v>
      </c>
      <c r="D279" s="26"/>
      <c r="E279" s="26"/>
      <c r="F279" s="61" t="s">
        <v>598</v>
      </c>
      <c r="G279" s="26"/>
    </row>
    <row r="280" spans="1:7" ht="13.5" customHeight="1">
      <c r="A280" s="26" t="s">
        <v>118</v>
      </c>
      <c r="B280" s="60" t="s">
        <v>560</v>
      </c>
      <c r="C280" s="26" t="s">
        <v>597</v>
      </c>
      <c r="D280" s="26" t="s">
        <v>599</v>
      </c>
      <c r="E280" s="26"/>
      <c r="F280" s="61" t="s">
        <v>600</v>
      </c>
      <c r="G280" s="26"/>
    </row>
    <row r="281" spans="1:7" ht="13.5" customHeight="1">
      <c r="A281" s="26" t="s">
        <v>118</v>
      </c>
      <c r="B281" s="60" t="s">
        <v>560</v>
      </c>
      <c r="C281" s="26" t="s">
        <v>597</v>
      </c>
      <c r="D281" s="26" t="s">
        <v>599</v>
      </c>
      <c r="E281" s="26" t="s">
        <v>397</v>
      </c>
      <c r="F281" s="61" t="s">
        <v>601</v>
      </c>
      <c r="G281" s="26" t="s">
        <v>125</v>
      </c>
    </row>
    <row r="282" spans="1:7" ht="13.5" customHeight="1">
      <c r="A282" s="26" t="s">
        <v>118</v>
      </c>
      <c r="B282" s="60" t="s">
        <v>560</v>
      </c>
      <c r="C282" s="26" t="s">
        <v>597</v>
      </c>
      <c r="D282" s="26" t="s">
        <v>602</v>
      </c>
      <c r="E282" s="26"/>
      <c r="F282" s="61" t="s">
        <v>603</v>
      </c>
      <c r="G282" s="26"/>
    </row>
    <row r="283" spans="1:7" ht="13.5" customHeight="1">
      <c r="A283" s="26" t="s">
        <v>118</v>
      </c>
      <c r="B283" s="60" t="s">
        <v>560</v>
      </c>
      <c r="C283" s="26" t="s">
        <v>597</v>
      </c>
      <c r="D283" s="26" t="s">
        <v>602</v>
      </c>
      <c r="E283" s="26" t="s">
        <v>303</v>
      </c>
      <c r="F283" s="61" t="s">
        <v>604</v>
      </c>
      <c r="G283" s="26" t="s">
        <v>125</v>
      </c>
    </row>
    <row r="284" spans="1:7" ht="13.5" customHeight="1">
      <c r="A284" s="26" t="s">
        <v>118</v>
      </c>
      <c r="B284" s="60" t="s">
        <v>560</v>
      </c>
      <c r="C284" s="26" t="s">
        <v>597</v>
      </c>
      <c r="D284" s="26" t="s">
        <v>602</v>
      </c>
      <c r="E284" s="26" t="s">
        <v>305</v>
      </c>
      <c r="F284" s="61" t="s">
        <v>605</v>
      </c>
      <c r="G284" s="26" t="s">
        <v>125</v>
      </c>
    </row>
    <row r="285" spans="1:7" ht="13.5" customHeight="1">
      <c r="A285" s="26" t="s">
        <v>118</v>
      </c>
      <c r="B285" s="60" t="s">
        <v>560</v>
      </c>
      <c r="C285" s="26" t="s">
        <v>597</v>
      </c>
      <c r="D285" s="26" t="s">
        <v>602</v>
      </c>
      <c r="E285" s="26" t="s">
        <v>307</v>
      </c>
      <c r="F285" s="61" t="s">
        <v>606</v>
      </c>
      <c r="G285" s="26" t="s">
        <v>125</v>
      </c>
    </row>
    <row r="286" spans="1:7" ht="13.5" customHeight="1">
      <c r="A286" s="26" t="s">
        <v>118</v>
      </c>
      <c r="B286" s="60" t="s">
        <v>560</v>
      </c>
      <c r="C286" s="26" t="s">
        <v>597</v>
      </c>
      <c r="D286" s="26" t="s">
        <v>607</v>
      </c>
      <c r="E286" s="26"/>
      <c r="F286" s="61" t="s">
        <v>608</v>
      </c>
      <c r="G286" s="26"/>
    </row>
    <row r="287" spans="1:7" ht="13.5" customHeight="1">
      <c r="A287" s="26" t="s">
        <v>118</v>
      </c>
      <c r="B287" s="60" t="s">
        <v>560</v>
      </c>
      <c r="C287" s="26" t="s">
        <v>597</v>
      </c>
      <c r="D287" s="26" t="s">
        <v>607</v>
      </c>
      <c r="E287" s="26" t="s">
        <v>311</v>
      </c>
      <c r="F287" s="61" t="s">
        <v>609</v>
      </c>
      <c r="G287" s="26" t="s">
        <v>125</v>
      </c>
    </row>
    <row r="288" spans="1:7" ht="13.5" customHeight="1">
      <c r="A288" s="26" t="s">
        <v>118</v>
      </c>
      <c r="B288" s="60" t="s">
        <v>560</v>
      </c>
      <c r="C288" s="26" t="s">
        <v>597</v>
      </c>
      <c r="D288" s="26" t="s">
        <v>607</v>
      </c>
      <c r="E288" s="26" t="s">
        <v>313</v>
      </c>
      <c r="F288" s="61" t="s">
        <v>610</v>
      </c>
      <c r="G288" s="26" t="s">
        <v>125</v>
      </c>
    </row>
    <row r="289" spans="1:7" ht="13.5" customHeight="1">
      <c r="A289" s="26" t="s">
        <v>118</v>
      </c>
      <c r="B289" s="60" t="s">
        <v>560</v>
      </c>
      <c r="C289" s="26" t="s">
        <v>597</v>
      </c>
      <c r="D289" s="26" t="s">
        <v>607</v>
      </c>
      <c r="E289" s="26" t="s">
        <v>315</v>
      </c>
      <c r="F289" s="61" t="s">
        <v>611</v>
      </c>
      <c r="G289" s="26" t="s">
        <v>125</v>
      </c>
    </row>
    <row r="290" spans="1:7" ht="13.5" customHeight="1">
      <c r="A290" s="26" t="s">
        <v>118</v>
      </c>
      <c r="B290" s="60" t="s">
        <v>560</v>
      </c>
      <c r="C290" s="26" t="s">
        <v>597</v>
      </c>
      <c r="D290" s="26" t="s">
        <v>607</v>
      </c>
      <c r="E290" s="26" t="s">
        <v>317</v>
      </c>
      <c r="F290" s="61" t="s">
        <v>612</v>
      </c>
      <c r="G290" s="26" t="s">
        <v>125</v>
      </c>
    </row>
    <row r="291" spans="1:7" ht="13.5" customHeight="1">
      <c r="A291" s="26" t="s">
        <v>118</v>
      </c>
      <c r="B291" s="60" t="s">
        <v>560</v>
      </c>
      <c r="C291" s="26" t="s">
        <v>597</v>
      </c>
      <c r="D291" s="26" t="s">
        <v>607</v>
      </c>
      <c r="E291" s="26" t="s">
        <v>319</v>
      </c>
      <c r="F291" s="61" t="s">
        <v>613</v>
      </c>
      <c r="G291" s="26" t="s">
        <v>125</v>
      </c>
    </row>
    <row r="292" spans="1:7" ht="13.5" customHeight="1">
      <c r="A292" s="26" t="s">
        <v>118</v>
      </c>
      <c r="B292" s="60" t="s">
        <v>560</v>
      </c>
      <c r="C292" s="26" t="s">
        <v>597</v>
      </c>
      <c r="D292" s="26" t="s">
        <v>607</v>
      </c>
      <c r="E292" s="26" t="s">
        <v>321</v>
      </c>
      <c r="F292" s="61" t="s">
        <v>614</v>
      </c>
      <c r="G292" s="26" t="s">
        <v>125</v>
      </c>
    </row>
    <row r="293" spans="1:7" ht="13.5" customHeight="1">
      <c r="A293" s="26" t="s">
        <v>118</v>
      </c>
      <c r="B293" s="60" t="s">
        <v>560</v>
      </c>
      <c r="C293" s="26" t="s">
        <v>597</v>
      </c>
      <c r="D293" s="26" t="s">
        <v>607</v>
      </c>
      <c r="E293" s="26" t="s">
        <v>323</v>
      </c>
      <c r="F293" s="61" t="s">
        <v>615</v>
      </c>
      <c r="G293" s="26" t="s">
        <v>125</v>
      </c>
    </row>
    <row r="294" spans="1:7" ht="13.5" customHeight="1">
      <c r="A294" s="26" t="s">
        <v>118</v>
      </c>
      <c r="B294" s="60" t="s">
        <v>560</v>
      </c>
      <c r="C294" s="26" t="s">
        <v>597</v>
      </c>
      <c r="D294" s="26" t="s">
        <v>607</v>
      </c>
      <c r="E294" s="26" t="s">
        <v>325</v>
      </c>
      <c r="F294" s="61" t="s">
        <v>616</v>
      </c>
      <c r="G294" s="26" t="s">
        <v>125</v>
      </c>
    </row>
    <row r="295" spans="1:7" ht="13.5" customHeight="1">
      <c r="A295" s="26" t="s">
        <v>118</v>
      </c>
      <c r="B295" s="60" t="s">
        <v>560</v>
      </c>
      <c r="C295" s="26" t="s">
        <v>597</v>
      </c>
      <c r="D295" s="26" t="s">
        <v>607</v>
      </c>
      <c r="E295" s="26" t="s">
        <v>475</v>
      </c>
      <c r="F295" s="61" t="s">
        <v>617</v>
      </c>
      <c r="G295" s="26" t="s">
        <v>125</v>
      </c>
    </row>
    <row r="296" spans="1:7" ht="13.5" customHeight="1">
      <c r="A296" s="26" t="s">
        <v>118</v>
      </c>
      <c r="B296" s="60" t="s">
        <v>560</v>
      </c>
      <c r="C296" s="26" t="s">
        <v>597</v>
      </c>
      <c r="D296" s="26" t="s">
        <v>607</v>
      </c>
      <c r="E296" s="26" t="s">
        <v>479</v>
      </c>
      <c r="F296" s="61" t="s">
        <v>618</v>
      </c>
      <c r="G296" s="26" t="s">
        <v>125</v>
      </c>
    </row>
    <row r="297" spans="1:7" ht="13.5" customHeight="1">
      <c r="A297" s="26" t="s">
        <v>118</v>
      </c>
      <c r="B297" s="60" t="s">
        <v>560</v>
      </c>
      <c r="C297" s="26" t="s">
        <v>597</v>
      </c>
      <c r="D297" s="26" t="s">
        <v>607</v>
      </c>
      <c r="E297" s="26" t="s">
        <v>619</v>
      </c>
      <c r="F297" s="61" t="s">
        <v>620</v>
      </c>
      <c r="G297" s="26" t="s">
        <v>125</v>
      </c>
    </row>
    <row r="298" spans="1:7" ht="13.5" customHeight="1">
      <c r="A298" s="26" t="s">
        <v>118</v>
      </c>
      <c r="B298" s="60" t="s">
        <v>560</v>
      </c>
      <c r="C298" s="26" t="s">
        <v>597</v>
      </c>
      <c r="D298" s="26" t="s">
        <v>607</v>
      </c>
      <c r="E298" s="26" t="s">
        <v>329</v>
      </c>
      <c r="F298" s="61" t="s">
        <v>621</v>
      </c>
      <c r="G298" s="26" t="s">
        <v>125</v>
      </c>
    </row>
    <row r="299" spans="1:7" ht="13.5" customHeight="1">
      <c r="A299" s="26" t="s">
        <v>118</v>
      </c>
      <c r="B299" s="60" t="s">
        <v>560</v>
      </c>
      <c r="C299" s="26" t="s">
        <v>597</v>
      </c>
      <c r="D299" s="26" t="s">
        <v>385</v>
      </c>
      <c r="E299" s="26"/>
      <c r="F299" s="61" t="s">
        <v>622</v>
      </c>
      <c r="G299" s="26"/>
    </row>
    <row r="300" spans="1:7" ht="13.5" customHeight="1">
      <c r="A300" s="26" t="s">
        <v>118</v>
      </c>
      <c r="B300" s="60" t="s">
        <v>560</v>
      </c>
      <c r="C300" s="26" t="s">
        <v>597</v>
      </c>
      <c r="D300" s="26" t="s">
        <v>385</v>
      </c>
      <c r="E300" s="26" t="s">
        <v>333</v>
      </c>
      <c r="F300" s="61" t="s">
        <v>623</v>
      </c>
      <c r="G300" s="26" t="s">
        <v>125</v>
      </c>
    </row>
    <row r="301" spans="1:7" ht="13.5" customHeight="1">
      <c r="A301" s="26" t="s">
        <v>118</v>
      </c>
      <c r="B301" s="60" t="s">
        <v>560</v>
      </c>
      <c r="C301" s="26" t="s">
        <v>597</v>
      </c>
      <c r="D301" s="26" t="s">
        <v>385</v>
      </c>
      <c r="E301" s="26" t="s">
        <v>335</v>
      </c>
      <c r="F301" s="61" t="s">
        <v>624</v>
      </c>
      <c r="G301" s="26" t="s">
        <v>125</v>
      </c>
    </row>
    <row r="302" spans="1:7" ht="13.5" customHeight="1">
      <c r="A302" s="26" t="s">
        <v>118</v>
      </c>
      <c r="B302" s="60" t="s">
        <v>560</v>
      </c>
      <c r="C302" s="26" t="s">
        <v>597</v>
      </c>
      <c r="D302" s="26" t="s">
        <v>385</v>
      </c>
      <c r="E302" s="26" t="s">
        <v>337</v>
      </c>
      <c r="F302" s="61" t="s">
        <v>625</v>
      </c>
      <c r="G302" s="26" t="s">
        <v>125</v>
      </c>
    </row>
    <row r="303" spans="1:7" ht="13.5" customHeight="1">
      <c r="A303" s="26" t="s">
        <v>118</v>
      </c>
      <c r="B303" s="60" t="s">
        <v>560</v>
      </c>
      <c r="C303" s="26" t="s">
        <v>597</v>
      </c>
      <c r="D303" s="26" t="s">
        <v>385</v>
      </c>
      <c r="E303" s="26" t="s">
        <v>339</v>
      </c>
      <c r="F303" s="61" t="s">
        <v>626</v>
      </c>
      <c r="G303" s="26" t="s">
        <v>125</v>
      </c>
    </row>
    <row r="304" spans="1:7" ht="13.5" customHeight="1">
      <c r="A304" s="26" t="s">
        <v>118</v>
      </c>
      <c r="B304" s="60" t="s">
        <v>560</v>
      </c>
      <c r="C304" s="26" t="s">
        <v>597</v>
      </c>
      <c r="D304" s="26" t="s">
        <v>385</v>
      </c>
      <c r="E304" s="26" t="s">
        <v>341</v>
      </c>
      <c r="F304" s="61" t="s">
        <v>627</v>
      </c>
      <c r="G304" s="26" t="s">
        <v>125</v>
      </c>
    </row>
    <row r="305" spans="1:7" ht="13.5" customHeight="1">
      <c r="A305" s="26" t="s">
        <v>118</v>
      </c>
      <c r="B305" s="60" t="s">
        <v>560</v>
      </c>
      <c r="C305" s="26" t="s">
        <v>597</v>
      </c>
      <c r="D305" s="26" t="s">
        <v>385</v>
      </c>
      <c r="E305" s="26" t="s">
        <v>628</v>
      </c>
      <c r="F305" s="61" t="s">
        <v>629</v>
      </c>
      <c r="G305" s="26" t="s">
        <v>125</v>
      </c>
    </row>
    <row r="306" spans="1:7" ht="13.5" customHeight="1">
      <c r="A306" s="26" t="s">
        <v>118</v>
      </c>
      <c r="B306" s="60" t="s">
        <v>560</v>
      </c>
      <c r="C306" s="26" t="s">
        <v>597</v>
      </c>
      <c r="D306" s="26" t="s">
        <v>385</v>
      </c>
      <c r="E306" s="26" t="s">
        <v>630</v>
      </c>
      <c r="F306" s="61" t="s">
        <v>631</v>
      </c>
      <c r="G306" s="26" t="s">
        <v>125</v>
      </c>
    </row>
    <row r="307" spans="1:7" ht="13.5" customHeight="1">
      <c r="A307" s="26" t="s">
        <v>118</v>
      </c>
      <c r="B307" s="60" t="s">
        <v>560</v>
      </c>
      <c r="C307" s="26" t="s">
        <v>597</v>
      </c>
      <c r="D307" s="26" t="s">
        <v>385</v>
      </c>
      <c r="E307" s="26" t="s">
        <v>345</v>
      </c>
      <c r="F307" s="61" t="s">
        <v>632</v>
      </c>
      <c r="G307" s="26" t="s">
        <v>125</v>
      </c>
    </row>
    <row r="308" spans="1:7" ht="13.5" customHeight="1">
      <c r="A308" s="26" t="s">
        <v>118</v>
      </c>
      <c r="B308" s="60" t="s">
        <v>560</v>
      </c>
      <c r="C308" s="26" t="s">
        <v>597</v>
      </c>
      <c r="D308" s="26" t="s">
        <v>633</v>
      </c>
      <c r="E308" s="26"/>
      <c r="F308" s="61" t="s">
        <v>634</v>
      </c>
      <c r="G308" s="26"/>
    </row>
    <row r="309" spans="1:7" ht="13.5" customHeight="1">
      <c r="A309" s="26" t="s">
        <v>118</v>
      </c>
      <c r="B309" s="60" t="s">
        <v>560</v>
      </c>
      <c r="C309" s="26" t="s">
        <v>597</v>
      </c>
      <c r="D309" s="26" t="s">
        <v>633</v>
      </c>
      <c r="E309" s="26" t="s">
        <v>174</v>
      </c>
      <c r="F309" s="61" t="s">
        <v>635</v>
      </c>
      <c r="G309" s="26" t="s">
        <v>125</v>
      </c>
    </row>
    <row r="310" spans="1:7" ht="13.5" customHeight="1">
      <c r="A310" s="26" t="s">
        <v>118</v>
      </c>
      <c r="B310" s="60" t="s">
        <v>560</v>
      </c>
      <c r="C310" s="26" t="s">
        <v>597</v>
      </c>
      <c r="D310" s="26" t="s">
        <v>633</v>
      </c>
      <c r="E310" s="26" t="s">
        <v>176</v>
      </c>
      <c r="F310" s="61" t="s">
        <v>636</v>
      </c>
      <c r="G310" s="26" t="s">
        <v>125</v>
      </c>
    </row>
    <row r="311" spans="1:7" ht="13.5" customHeight="1">
      <c r="A311" s="26" t="s">
        <v>118</v>
      </c>
      <c r="B311" s="60" t="s">
        <v>560</v>
      </c>
      <c r="C311" s="26" t="s">
        <v>597</v>
      </c>
      <c r="D311" s="26" t="s">
        <v>633</v>
      </c>
      <c r="E311" s="26" t="s">
        <v>351</v>
      </c>
      <c r="F311" s="61" t="s">
        <v>637</v>
      </c>
      <c r="G311" s="26" t="s">
        <v>125</v>
      </c>
    </row>
    <row r="312" spans="1:7" ht="13.5" customHeight="1">
      <c r="A312" s="26" t="s">
        <v>118</v>
      </c>
      <c r="B312" s="60" t="s">
        <v>560</v>
      </c>
      <c r="C312" s="26" t="s">
        <v>597</v>
      </c>
      <c r="D312" s="26" t="s">
        <v>633</v>
      </c>
      <c r="E312" s="26" t="s">
        <v>180</v>
      </c>
      <c r="F312" s="61" t="s">
        <v>638</v>
      </c>
      <c r="G312" s="26" t="s">
        <v>125</v>
      </c>
    </row>
    <row r="313" spans="1:7" ht="13.5" customHeight="1">
      <c r="A313" s="26" t="s">
        <v>118</v>
      </c>
      <c r="B313" s="60" t="s">
        <v>560</v>
      </c>
      <c r="C313" s="26" t="s">
        <v>597</v>
      </c>
      <c r="D313" s="26" t="s">
        <v>633</v>
      </c>
      <c r="E313" s="26" t="s">
        <v>182</v>
      </c>
      <c r="F313" s="61" t="s">
        <v>639</v>
      </c>
      <c r="G313" s="26" t="s">
        <v>125</v>
      </c>
    </row>
    <row r="314" spans="1:7" ht="13.5" customHeight="1">
      <c r="A314" s="26" t="s">
        <v>118</v>
      </c>
      <c r="B314" s="60" t="s">
        <v>560</v>
      </c>
      <c r="C314" s="26" t="s">
        <v>597</v>
      </c>
      <c r="D314" s="26" t="s">
        <v>633</v>
      </c>
      <c r="E314" s="26" t="s">
        <v>184</v>
      </c>
      <c r="F314" s="61" t="s">
        <v>640</v>
      </c>
      <c r="G314" s="26" t="s">
        <v>125</v>
      </c>
    </row>
    <row r="315" spans="1:7" ht="13.5" customHeight="1">
      <c r="A315" s="26" t="s">
        <v>118</v>
      </c>
      <c r="B315" s="60" t="s">
        <v>560</v>
      </c>
      <c r="C315" s="26" t="s">
        <v>597</v>
      </c>
      <c r="D315" s="26" t="s">
        <v>633</v>
      </c>
      <c r="E315" s="26" t="s">
        <v>356</v>
      </c>
      <c r="F315" s="61" t="s">
        <v>641</v>
      </c>
      <c r="G315" s="26" t="s">
        <v>125</v>
      </c>
    </row>
    <row r="316" spans="1:7" ht="13.5" customHeight="1">
      <c r="A316" s="26" t="s">
        <v>118</v>
      </c>
      <c r="B316" s="60" t="s">
        <v>560</v>
      </c>
      <c r="C316" s="26" t="s">
        <v>597</v>
      </c>
      <c r="D316" s="26" t="s">
        <v>633</v>
      </c>
      <c r="E316" s="26" t="s">
        <v>358</v>
      </c>
      <c r="F316" s="61" t="s">
        <v>642</v>
      </c>
      <c r="G316" s="26" t="s">
        <v>125</v>
      </c>
    </row>
    <row r="317" spans="1:7" ht="13.5" customHeight="1">
      <c r="A317" s="26" t="s">
        <v>118</v>
      </c>
      <c r="B317" s="60" t="s">
        <v>560</v>
      </c>
      <c r="C317" s="26" t="s">
        <v>597</v>
      </c>
      <c r="D317" s="26" t="s">
        <v>633</v>
      </c>
      <c r="E317" s="26" t="s">
        <v>188</v>
      </c>
      <c r="F317" s="61" t="s">
        <v>643</v>
      </c>
      <c r="G317" s="26" t="s">
        <v>125</v>
      </c>
    </row>
    <row r="318" spans="1:7" ht="13.5" customHeight="1">
      <c r="A318" s="26" t="s">
        <v>118</v>
      </c>
      <c r="B318" s="60" t="s">
        <v>560</v>
      </c>
      <c r="C318" s="26" t="s">
        <v>597</v>
      </c>
      <c r="D318" s="26" t="s">
        <v>633</v>
      </c>
      <c r="E318" s="26" t="s">
        <v>361</v>
      </c>
      <c r="F318" s="61" t="s">
        <v>644</v>
      </c>
      <c r="G318" s="26" t="s">
        <v>125</v>
      </c>
    </row>
    <row r="319" spans="1:7" ht="13.5" customHeight="1">
      <c r="A319" s="26" t="s">
        <v>118</v>
      </c>
      <c r="B319" s="60" t="s">
        <v>560</v>
      </c>
      <c r="C319" s="26" t="s">
        <v>597</v>
      </c>
      <c r="D319" s="26" t="s">
        <v>633</v>
      </c>
      <c r="E319" s="26" t="s">
        <v>192</v>
      </c>
      <c r="F319" s="61" t="s">
        <v>645</v>
      </c>
      <c r="G319" s="26" t="s">
        <v>125</v>
      </c>
    </row>
    <row r="320" spans="1:7" ht="13.5" customHeight="1">
      <c r="A320" s="26" t="s">
        <v>118</v>
      </c>
      <c r="B320" s="60" t="s">
        <v>560</v>
      </c>
      <c r="C320" s="26" t="s">
        <v>597</v>
      </c>
      <c r="D320" s="26" t="s">
        <v>633</v>
      </c>
      <c r="E320" s="26" t="s">
        <v>194</v>
      </c>
      <c r="F320" s="61" t="s">
        <v>646</v>
      </c>
      <c r="G320" s="26" t="s">
        <v>125</v>
      </c>
    </row>
    <row r="321" spans="1:7" ht="13.5" customHeight="1">
      <c r="A321" s="26" t="s">
        <v>118</v>
      </c>
      <c r="B321" s="60" t="s">
        <v>560</v>
      </c>
      <c r="C321" s="26" t="s">
        <v>597</v>
      </c>
      <c r="D321" s="26" t="s">
        <v>633</v>
      </c>
      <c r="E321" s="26" t="s">
        <v>196</v>
      </c>
      <c r="F321" s="61" t="s">
        <v>647</v>
      </c>
      <c r="G321" s="26" t="s">
        <v>125</v>
      </c>
    </row>
    <row r="322" spans="1:7" ht="13.5" customHeight="1">
      <c r="A322" s="26" t="s">
        <v>118</v>
      </c>
      <c r="B322" s="60" t="s">
        <v>560</v>
      </c>
      <c r="C322" s="26" t="s">
        <v>597</v>
      </c>
      <c r="D322" s="26" t="s">
        <v>633</v>
      </c>
      <c r="E322" s="26" t="s">
        <v>198</v>
      </c>
      <c r="F322" s="61" t="s">
        <v>648</v>
      </c>
      <c r="G322" s="26" t="s">
        <v>125</v>
      </c>
    </row>
    <row r="323" spans="1:7" ht="13.5" customHeight="1">
      <c r="A323" s="26" t="s">
        <v>118</v>
      </c>
      <c r="B323" s="60" t="s">
        <v>560</v>
      </c>
      <c r="C323" s="26" t="s">
        <v>597</v>
      </c>
      <c r="D323" s="26" t="s">
        <v>633</v>
      </c>
      <c r="E323" s="26" t="s">
        <v>649</v>
      </c>
      <c r="F323" s="61" t="s">
        <v>650</v>
      </c>
      <c r="G323" s="26" t="s">
        <v>125</v>
      </c>
    </row>
    <row r="324" spans="1:7" ht="13.5" customHeight="1">
      <c r="A324" s="26" t="s">
        <v>118</v>
      </c>
      <c r="B324" s="60" t="s">
        <v>560</v>
      </c>
      <c r="C324" s="26" t="s">
        <v>597</v>
      </c>
      <c r="D324" s="26" t="s">
        <v>633</v>
      </c>
      <c r="E324" s="26" t="s">
        <v>200</v>
      </c>
      <c r="F324" s="61" t="s">
        <v>651</v>
      </c>
      <c r="G324" s="26" t="s">
        <v>125</v>
      </c>
    </row>
    <row r="325" spans="1:7" ht="13.5" customHeight="1">
      <c r="A325" s="26" t="s">
        <v>118</v>
      </c>
      <c r="B325" s="60" t="s">
        <v>560</v>
      </c>
      <c r="C325" s="26" t="s">
        <v>597</v>
      </c>
      <c r="D325" s="26" t="s">
        <v>652</v>
      </c>
      <c r="E325" s="26"/>
      <c r="F325" s="61" t="s">
        <v>653</v>
      </c>
      <c r="G325" s="26"/>
    </row>
    <row r="326" spans="1:7" ht="13.5" customHeight="1">
      <c r="A326" s="26" t="s">
        <v>118</v>
      </c>
      <c r="B326" s="60" t="s">
        <v>560</v>
      </c>
      <c r="C326" s="26" t="s">
        <v>597</v>
      </c>
      <c r="D326" s="26" t="s">
        <v>652</v>
      </c>
      <c r="E326" s="26" t="s">
        <v>370</v>
      </c>
      <c r="F326" s="61" t="s">
        <v>654</v>
      </c>
      <c r="G326" s="26" t="s">
        <v>125</v>
      </c>
    </row>
    <row r="327" spans="1:7" ht="13.5" customHeight="1">
      <c r="A327" s="26" t="s">
        <v>118</v>
      </c>
      <c r="B327" s="60" t="s">
        <v>560</v>
      </c>
      <c r="C327" s="26" t="s">
        <v>597</v>
      </c>
      <c r="D327" s="26" t="s">
        <v>652</v>
      </c>
      <c r="E327" s="26" t="s">
        <v>372</v>
      </c>
      <c r="F327" s="61" t="s">
        <v>655</v>
      </c>
      <c r="G327" s="26" t="s">
        <v>125</v>
      </c>
    </row>
    <row r="328" spans="1:7" ht="13.5" customHeight="1">
      <c r="A328" s="26" t="s">
        <v>118</v>
      </c>
      <c r="B328" s="60" t="s">
        <v>560</v>
      </c>
      <c r="C328" s="26" t="s">
        <v>597</v>
      </c>
      <c r="D328" s="26" t="s">
        <v>652</v>
      </c>
      <c r="E328" s="26" t="s">
        <v>374</v>
      </c>
      <c r="F328" s="61" t="s">
        <v>656</v>
      </c>
      <c r="G328" s="26" t="s">
        <v>125</v>
      </c>
    </row>
    <row r="329" spans="1:7" ht="13.5" customHeight="1">
      <c r="A329" s="26" t="s">
        <v>118</v>
      </c>
      <c r="B329" s="60" t="s">
        <v>560</v>
      </c>
      <c r="C329" s="26" t="s">
        <v>597</v>
      </c>
      <c r="D329" s="26" t="s">
        <v>652</v>
      </c>
      <c r="E329" s="26" t="s">
        <v>376</v>
      </c>
      <c r="F329" s="61" t="s">
        <v>657</v>
      </c>
      <c r="G329" s="26" t="s">
        <v>125</v>
      </c>
    </row>
    <row r="330" spans="1:7" ht="13.5" customHeight="1">
      <c r="A330" s="26" t="s">
        <v>118</v>
      </c>
      <c r="B330" s="60" t="s">
        <v>560</v>
      </c>
      <c r="C330" s="26" t="s">
        <v>597</v>
      </c>
      <c r="D330" s="26" t="s">
        <v>652</v>
      </c>
      <c r="E330" s="26" t="s">
        <v>378</v>
      </c>
      <c r="F330" s="61" t="s">
        <v>658</v>
      </c>
      <c r="G330" s="26" t="s">
        <v>125</v>
      </c>
    </row>
    <row r="331" spans="1:7" ht="13.5" customHeight="1">
      <c r="A331" s="26" t="s">
        <v>118</v>
      </c>
      <c r="B331" s="60" t="s">
        <v>560</v>
      </c>
      <c r="C331" s="26" t="s">
        <v>597</v>
      </c>
      <c r="D331" s="26" t="s">
        <v>659</v>
      </c>
      <c r="E331" s="26"/>
      <c r="F331" s="61" t="s">
        <v>660</v>
      </c>
      <c r="G331" s="26"/>
    </row>
    <row r="332" spans="1:7" ht="13.5" customHeight="1">
      <c r="A332" s="26" t="s">
        <v>118</v>
      </c>
      <c r="B332" s="60" t="s">
        <v>560</v>
      </c>
      <c r="C332" s="26" t="s">
        <v>597</v>
      </c>
      <c r="D332" s="26" t="s">
        <v>659</v>
      </c>
      <c r="E332" s="26" t="s">
        <v>204</v>
      </c>
      <c r="F332" s="61" t="s">
        <v>661</v>
      </c>
      <c r="G332" s="26" t="s">
        <v>125</v>
      </c>
    </row>
    <row r="333" spans="1:7" ht="13.5" customHeight="1">
      <c r="A333" s="26" t="s">
        <v>118</v>
      </c>
      <c r="B333" s="60" t="s">
        <v>560</v>
      </c>
      <c r="C333" s="26" t="s">
        <v>597</v>
      </c>
      <c r="D333" s="26" t="s">
        <v>659</v>
      </c>
      <c r="E333" s="26" t="s">
        <v>206</v>
      </c>
      <c r="F333" s="61" t="s">
        <v>662</v>
      </c>
      <c r="G333" s="26" t="s">
        <v>125</v>
      </c>
    </row>
    <row r="334" spans="1:7" ht="13.5" customHeight="1">
      <c r="A334" s="26" t="s">
        <v>118</v>
      </c>
      <c r="B334" s="60" t="s">
        <v>560</v>
      </c>
      <c r="C334" s="26" t="s">
        <v>597</v>
      </c>
      <c r="D334" s="26" t="s">
        <v>663</v>
      </c>
      <c r="E334" s="26"/>
      <c r="F334" s="61" t="s">
        <v>664</v>
      </c>
      <c r="G334" s="26"/>
    </row>
    <row r="335" spans="1:7" ht="13.5" customHeight="1">
      <c r="A335" s="26" t="s">
        <v>118</v>
      </c>
      <c r="B335" s="60" t="s">
        <v>560</v>
      </c>
      <c r="C335" s="26" t="s">
        <v>597</v>
      </c>
      <c r="D335" s="26" t="s">
        <v>663</v>
      </c>
      <c r="E335" s="26" t="s">
        <v>404</v>
      </c>
      <c r="F335" s="61" t="s">
        <v>665</v>
      </c>
      <c r="G335" s="26" t="s">
        <v>125</v>
      </c>
    </row>
    <row r="336" spans="1:7" ht="13.5" customHeight="1">
      <c r="A336" s="26" t="s">
        <v>118</v>
      </c>
      <c r="B336" s="60" t="s">
        <v>560</v>
      </c>
      <c r="C336" s="26" t="s">
        <v>597</v>
      </c>
      <c r="D336" s="26" t="s">
        <v>663</v>
      </c>
      <c r="E336" s="26" t="s">
        <v>406</v>
      </c>
      <c r="F336" s="61" t="s">
        <v>666</v>
      </c>
      <c r="G336" s="26" t="s">
        <v>125</v>
      </c>
    </row>
    <row r="337" spans="1:7" ht="13.5" customHeight="1">
      <c r="A337" s="26" t="s">
        <v>118</v>
      </c>
      <c r="B337" s="60" t="s">
        <v>560</v>
      </c>
      <c r="C337" s="26" t="s">
        <v>597</v>
      </c>
      <c r="D337" s="26" t="s">
        <v>663</v>
      </c>
      <c r="E337" s="26" t="s">
        <v>408</v>
      </c>
      <c r="F337" s="61" t="s">
        <v>667</v>
      </c>
      <c r="G337" s="26" t="s">
        <v>125</v>
      </c>
    </row>
    <row r="338" spans="1:7" ht="13.5" customHeight="1">
      <c r="A338" s="26" t="s">
        <v>118</v>
      </c>
      <c r="B338" s="60" t="s">
        <v>560</v>
      </c>
      <c r="C338" s="26" t="s">
        <v>597</v>
      </c>
      <c r="D338" s="26" t="s">
        <v>668</v>
      </c>
      <c r="E338" s="26"/>
      <c r="F338" s="61" t="s">
        <v>669</v>
      </c>
      <c r="G338" s="26"/>
    </row>
    <row r="339" spans="1:7" ht="13.5" customHeight="1">
      <c r="A339" s="26" t="s">
        <v>118</v>
      </c>
      <c r="B339" s="60" t="s">
        <v>560</v>
      </c>
      <c r="C339" s="26" t="s">
        <v>597</v>
      </c>
      <c r="D339" s="26" t="s">
        <v>668</v>
      </c>
      <c r="E339" s="26" t="s">
        <v>431</v>
      </c>
      <c r="F339" s="61" t="s">
        <v>670</v>
      </c>
      <c r="G339" s="26" t="s">
        <v>125</v>
      </c>
    </row>
    <row r="340" spans="1:7" ht="13.5" customHeight="1">
      <c r="A340" s="26" t="s">
        <v>118</v>
      </c>
      <c r="B340" s="60" t="s">
        <v>560</v>
      </c>
      <c r="C340" s="26" t="s">
        <v>597</v>
      </c>
      <c r="D340" s="26" t="s">
        <v>668</v>
      </c>
      <c r="E340" s="26" t="s">
        <v>433</v>
      </c>
      <c r="F340" s="61" t="s">
        <v>671</v>
      </c>
      <c r="G340" s="26" t="s">
        <v>125</v>
      </c>
    </row>
    <row r="341" spans="1:7" ht="13.5" customHeight="1">
      <c r="A341" s="26" t="s">
        <v>118</v>
      </c>
      <c r="B341" s="60" t="s">
        <v>560</v>
      </c>
      <c r="C341" s="26" t="s">
        <v>597</v>
      </c>
      <c r="D341" s="26" t="s">
        <v>672</v>
      </c>
      <c r="E341" s="26"/>
      <c r="F341" s="61" t="s">
        <v>673</v>
      </c>
      <c r="G341" s="26"/>
    </row>
    <row r="342" spans="1:7" ht="13.5" customHeight="1">
      <c r="A342" s="26" t="s">
        <v>118</v>
      </c>
      <c r="B342" s="60" t="s">
        <v>560</v>
      </c>
      <c r="C342" s="26" t="s">
        <v>597</v>
      </c>
      <c r="D342" s="26" t="s">
        <v>672</v>
      </c>
      <c r="E342" s="26" t="s">
        <v>400</v>
      </c>
      <c r="F342" s="61" t="s">
        <v>674</v>
      </c>
      <c r="G342" s="26" t="s">
        <v>125</v>
      </c>
    </row>
    <row r="343" spans="1:7" ht="13.5" customHeight="1">
      <c r="A343" s="26" t="s">
        <v>118</v>
      </c>
      <c r="B343" s="60" t="s">
        <v>560</v>
      </c>
      <c r="C343" s="26" t="s">
        <v>675</v>
      </c>
      <c r="D343" s="26"/>
      <c r="E343" s="26"/>
      <c r="F343" s="61" t="s">
        <v>676</v>
      </c>
      <c r="G343" s="26"/>
    </row>
    <row r="344" spans="1:7" ht="13.5" customHeight="1">
      <c r="A344" s="26" t="s">
        <v>118</v>
      </c>
      <c r="B344" s="60" t="s">
        <v>560</v>
      </c>
      <c r="C344" s="26" t="s">
        <v>675</v>
      </c>
      <c r="D344" s="26" t="s">
        <v>677</v>
      </c>
      <c r="E344" s="26"/>
      <c r="F344" s="61" t="s">
        <v>678</v>
      </c>
      <c r="G344" s="26"/>
    </row>
    <row r="345" spans="1:7" ht="13.5" customHeight="1">
      <c r="A345" s="26" t="s">
        <v>118</v>
      </c>
      <c r="B345" s="60" t="s">
        <v>560</v>
      </c>
      <c r="C345" s="26" t="s">
        <v>675</v>
      </c>
      <c r="D345" s="26" t="s">
        <v>677</v>
      </c>
      <c r="E345" s="26" t="s">
        <v>679</v>
      </c>
      <c r="F345" s="61" t="s">
        <v>680</v>
      </c>
      <c r="G345" s="26" t="s">
        <v>125</v>
      </c>
    </row>
    <row r="346" spans="1:7" ht="13.5" customHeight="1">
      <c r="A346" s="26" t="s">
        <v>118</v>
      </c>
      <c r="B346" s="60" t="s">
        <v>560</v>
      </c>
      <c r="C346" s="26" t="s">
        <v>675</v>
      </c>
      <c r="D346" s="26" t="s">
        <v>677</v>
      </c>
      <c r="E346" s="26" t="s">
        <v>681</v>
      </c>
      <c r="F346" s="61" t="s">
        <v>682</v>
      </c>
      <c r="G346" s="26" t="s">
        <v>125</v>
      </c>
    </row>
    <row r="347" spans="1:7" ht="13.5" customHeight="1">
      <c r="A347" s="26" t="s">
        <v>118</v>
      </c>
      <c r="B347" s="60" t="s">
        <v>560</v>
      </c>
      <c r="C347" s="26" t="s">
        <v>675</v>
      </c>
      <c r="D347" s="26" t="s">
        <v>677</v>
      </c>
      <c r="E347" s="26" t="s">
        <v>683</v>
      </c>
      <c r="F347" s="61" t="s">
        <v>684</v>
      </c>
      <c r="G347" s="26" t="s">
        <v>125</v>
      </c>
    </row>
    <row r="348" spans="1:7" ht="13.5" customHeight="1">
      <c r="A348" s="26" t="s">
        <v>118</v>
      </c>
      <c r="B348" s="60" t="s">
        <v>560</v>
      </c>
      <c r="C348" s="26" t="s">
        <v>675</v>
      </c>
      <c r="D348" s="26" t="s">
        <v>677</v>
      </c>
      <c r="E348" s="26" t="s">
        <v>685</v>
      </c>
      <c r="F348" s="61" t="s">
        <v>686</v>
      </c>
      <c r="G348" s="26" t="s">
        <v>125</v>
      </c>
    </row>
    <row r="349" spans="1:7" ht="13.5" customHeight="1">
      <c r="A349" s="26" t="s">
        <v>118</v>
      </c>
      <c r="B349" s="60" t="s">
        <v>560</v>
      </c>
      <c r="C349" s="26" t="s">
        <v>675</v>
      </c>
      <c r="D349" s="26" t="s">
        <v>677</v>
      </c>
      <c r="E349" s="26" t="s">
        <v>687</v>
      </c>
      <c r="F349" s="61" t="s">
        <v>688</v>
      </c>
      <c r="G349" s="26" t="s">
        <v>125</v>
      </c>
    </row>
    <row r="350" spans="1:7" ht="13.5" customHeight="1">
      <c r="A350" s="26" t="s">
        <v>118</v>
      </c>
      <c r="B350" s="60" t="s">
        <v>560</v>
      </c>
      <c r="C350" s="26" t="s">
        <v>689</v>
      </c>
      <c r="D350" s="26"/>
      <c r="E350" s="26"/>
      <c r="F350" s="61" t="s">
        <v>690</v>
      </c>
      <c r="G350" s="26"/>
    </row>
    <row r="351" spans="1:7" ht="13.5" customHeight="1">
      <c r="A351" s="26" t="s">
        <v>118</v>
      </c>
      <c r="B351" s="60" t="s">
        <v>560</v>
      </c>
      <c r="C351" s="26" t="s">
        <v>689</v>
      </c>
      <c r="D351" s="26" t="s">
        <v>691</v>
      </c>
      <c r="E351" s="26" t="s">
        <v>691</v>
      </c>
      <c r="F351" s="61" t="s">
        <v>692</v>
      </c>
      <c r="G351" s="26" t="s">
        <v>125</v>
      </c>
    </row>
    <row r="352" spans="1:7" ht="13.5" customHeight="1">
      <c r="A352" s="26" t="s">
        <v>118</v>
      </c>
      <c r="B352" s="60" t="s">
        <v>560</v>
      </c>
      <c r="C352" s="26" t="s">
        <v>689</v>
      </c>
      <c r="D352" s="26" t="s">
        <v>693</v>
      </c>
      <c r="E352" s="26" t="s">
        <v>693</v>
      </c>
      <c r="F352" s="61" t="s">
        <v>694</v>
      </c>
      <c r="G352" s="26" t="s">
        <v>125</v>
      </c>
    </row>
    <row r="353" spans="1:7" ht="13.5" customHeight="1">
      <c r="A353" s="26" t="s">
        <v>118</v>
      </c>
      <c r="B353" s="60" t="s">
        <v>560</v>
      </c>
      <c r="C353" s="26" t="s">
        <v>689</v>
      </c>
      <c r="D353" s="26" t="s">
        <v>695</v>
      </c>
      <c r="E353" s="26" t="s">
        <v>695</v>
      </c>
      <c r="F353" s="61" t="s">
        <v>696</v>
      </c>
      <c r="G353" s="26" t="s">
        <v>125</v>
      </c>
    </row>
    <row r="354" spans="1:7" ht="13.5" customHeight="1">
      <c r="A354" s="26"/>
      <c r="B354" s="60"/>
      <c r="C354" s="26"/>
      <c r="D354" s="26"/>
      <c r="E354" s="26"/>
      <c r="F354" s="61"/>
      <c r="G354" s="26"/>
    </row>
    <row r="355" spans="1:7" ht="13.5" customHeight="1">
      <c r="A355" s="26"/>
      <c r="B355" s="60"/>
      <c r="C355" s="26"/>
      <c r="D355" s="26"/>
      <c r="E355" s="26"/>
      <c r="F355" s="61"/>
      <c r="G355" s="26"/>
    </row>
    <row r="356" spans="1:7" ht="13.5" customHeight="1">
      <c r="A356" s="26"/>
      <c r="B356" s="60"/>
      <c r="C356" s="26"/>
      <c r="D356" s="26"/>
      <c r="E356" s="26"/>
      <c r="F356" s="61"/>
      <c r="G356" s="26"/>
    </row>
    <row r="357" spans="1:7" ht="13.5" customHeight="1">
      <c r="A357" s="26"/>
      <c r="B357" s="60"/>
      <c r="C357" s="26"/>
      <c r="D357" s="26"/>
      <c r="E357" s="26"/>
      <c r="F357" s="61"/>
      <c r="G357" s="26"/>
    </row>
    <row r="358" spans="1:7" ht="13.5" customHeight="1">
      <c r="A358" s="26"/>
      <c r="B358" s="60"/>
      <c r="C358" s="26"/>
      <c r="D358" s="26"/>
      <c r="E358" s="26"/>
      <c r="F358" s="61"/>
      <c r="G358" s="26"/>
    </row>
    <row r="359" spans="1:7" ht="13.5" customHeight="1">
      <c r="A359" s="26"/>
      <c r="B359" s="60"/>
      <c r="C359" s="26"/>
      <c r="D359" s="26"/>
      <c r="E359" s="26"/>
      <c r="F359" s="61"/>
      <c r="G359" s="26"/>
    </row>
    <row r="360" spans="1:7" ht="13.5" customHeight="1">
      <c r="A360" s="26"/>
      <c r="B360" s="60"/>
      <c r="C360" s="26"/>
      <c r="D360" s="26"/>
      <c r="E360" s="26"/>
      <c r="F360" s="61"/>
      <c r="G360" s="26"/>
    </row>
    <row r="361" spans="1:7" ht="13.5" customHeight="1">
      <c r="A361" s="26"/>
      <c r="B361" s="60"/>
      <c r="C361" s="26"/>
      <c r="D361" s="26"/>
      <c r="E361" s="26"/>
      <c r="F361" s="61"/>
      <c r="G361" s="26"/>
    </row>
    <row r="362" spans="1:7" ht="13.5" customHeight="1">
      <c r="A362" s="26"/>
      <c r="B362" s="60"/>
      <c r="C362" s="26"/>
      <c r="D362" s="26"/>
      <c r="E362" s="26"/>
      <c r="F362" s="61"/>
      <c r="G362" s="26"/>
    </row>
    <row r="363" spans="1:7" ht="13.5" customHeight="1">
      <c r="A363" s="26"/>
      <c r="B363" s="60"/>
      <c r="C363" s="26"/>
      <c r="D363" s="26"/>
      <c r="E363" s="26"/>
      <c r="F363" s="61"/>
      <c r="G363" s="26"/>
    </row>
    <row r="364" spans="1:7" ht="13.5" customHeight="1">
      <c r="A364" s="26"/>
      <c r="B364" s="60"/>
      <c r="C364" s="26"/>
      <c r="D364" s="26"/>
      <c r="E364" s="26"/>
      <c r="F364" s="61"/>
      <c r="G364" s="26"/>
    </row>
    <row r="365" spans="1:7" ht="13.5" customHeight="1">
      <c r="A365" s="26"/>
      <c r="B365" s="60"/>
      <c r="C365" s="26"/>
      <c r="D365" s="26"/>
      <c r="E365" s="26"/>
      <c r="F365" s="61"/>
      <c r="G365" s="26"/>
    </row>
    <row r="366" spans="1:7" ht="13.5" customHeight="1">
      <c r="A366" s="26"/>
      <c r="B366" s="60"/>
      <c r="C366" s="26"/>
      <c r="D366" s="26"/>
      <c r="E366" s="26"/>
      <c r="F366" s="61"/>
      <c r="G366" s="26"/>
    </row>
    <row r="367" spans="1:7" ht="13.5" customHeight="1">
      <c r="A367" s="26"/>
      <c r="B367" s="60"/>
      <c r="C367" s="26"/>
      <c r="D367" s="26"/>
      <c r="E367" s="26"/>
      <c r="F367" s="61"/>
      <c r="G367" s="26"/>
    </row>
    <row r="368" spans="1:7" ht="13.5" customHeight="1">
      <c r="A368" s="26"/>
      <c r="B368" s="60"/>
      <c r="C368" s="26"/>
      <c r="D368" s="26"/>
      <c r="E368" s="26"/>
      <c r="F368" s="61"/>
      <c r="G368" s="26"/>
    </row>
    <row r="369" spans="1:7" ht="13.5" customHeight="1">
      <c r="A369" s="26"/>
      <c r="B369" s="60"/>
      <c r="C369" s="26"/>
      <c r="D369" s="26"/>
      <c r="E369" s="26"/>
      <c r="F369" s="61"/>
      <c r="G369" s="26"/>
    </row>
    <row r="370" spans="1:7" ht="13.5" customHeight="1">
      <c r="A370" s="26"/>
      <c r="B370" s="60"/>
      <c r="C370" s="26"/>
      <c r="D370" s="26"/>
      <c r="E370" s="26"/>
      <c r="F370" s="61"/>
      <c r="G370" s="26"/>
    </row>
    <row r="371" spans="1:7" ht="13.5" customHeight="1">
      <c r="A371" s="26"/>
      <c r="B371" s="60"/>
      <c r="C371" s="26"/>
      <c r="D371" s="26"/>
      <c r="E371" s="26"/>
      <c r="F371" s="61"/>
      <c r="G371" s="26"/>
    </row>
    <row r="372" spans="1:7" ht="13.5" customHeight="1">
      <c r="A372" s="26"/>
      <c r="B372" s="60"/>
      <c r="C372" s="26"/>
      <c r="D372" s="26"/>
      <c r="E372" s="26"/>
      <c r="F372" s="61"/>
      <c r="G372" s="26"/>
    </row>
    <row r="373" spans="1:7" ht="13.5" customHeight="1">
      <c r="A373" s="26"/>
      <c r="B373" s="60"/>
      <c r="C373" s="26"/>
      <c r="D373" s="26"/>
      <c r="E373" s="26"/>
      <c r="F373" s="61"/>
      <c r="G373" s="26"/>
    </row>
    <row r="374" spans="1:7" ht="13.5" customHeight="1">
      <c r="A374" s="26"/>
      <c r="B374" s="60"/>
      <c r="C374" s="26"/>
      <c r="D374" s="26"/>
      <c r="E374" s="26"/>
      <c r="F374" s="61"/>
      <c r="G374" s="26"/>
    </row>
    <row r="375" spans="1:7" ht="13.5" customHeight="1">
      <c r="A375" s="26"/>
      <c r="B375" s="60"/>
      <c r="C375" s="26"/>
      <c r="D375" s="26"/>
      <c r="E375" s="26"/>
      <c r="F375" s="61"/>
      <c r="G375" s="26"/>
    </row>
    <row r="376" spans="1:7" ht="13.5" customHeight="1">
      <c r="A376" s="26"/>
      <c r="B376" s="60"/>
      <c r="C376" s="26"/>
      <c r="D376" s="26"/>
      <c r="E376" s="26"/>
      <c r="F376" s="61"/>
      <c r="G376" s="26"/>
    </row>
    <row r="377" spans="1:7" ht="13.5" customHeight="1">
      <c r="A377" s="26"/>
      <c r="B377" s="60"/>
      <c r="C377" s="26"/>
      <c r="D377" s="26"/>
      <c r="E377" s="26"/>
      <c r="F377" s="61"/>
      <c r="G377" s="26"/>
    </row>
    <row r="378" spans="1:7" ht="13.5" customHeight="1">
      <c r="A378" s="26"/>
      <c r="B378" s="60"/>
      <c r="C378" s="26"/>
      <c r="D378" s="26"/>
      <c r="E378" s="26"/>
      <c r="F378" s="61"/>
      <c r="G378" s="26"/>
    </row>
    <row r="379" spans="1:7" ht="13.5" customHeight="1">
      <c r="A379" s="26"/>
      <c r="B379" s="60"/>
      <c r="C379" s="26"/>
      <c r="D379" s="26"/>
      <c r="E379" s="26"/>
      <c r="F379" s="61"/>
      <c r="G379" s="26"/>
    </row>
    <row r="380" spans="1:7" ht="13.5" customHeight="1">
      <c r="A380" s="26"/>
      <c r="B380" s="60"/>
      <c r="C380" s="26"/>
      <c r="D380" s="26"/>
      <c r="E380" s="26"/>
      <c r="F380" s="61"/>
      <c r="G380" s="26"/>
    </row>
    <row r="381" spans="1:7" ht="13.5" customHeight="1">
      <c r="A381" s="26"/>
      <c r="B381" s="60"/>
      <c r="C381" s="26"/>
      <c r="D381" s="26"/>
      <c r="E381" s="26"/>
      <c r="F381" s="61"/>
      <c r="G381" s="26"/>
    </row>
    <row r="382" spans="1:7" ht="13.5" customHeight="1">
      <c r="A382" s="26"/>
      <c r="B382" s="60"/>
      <c r="C382" s="26"/>
      <c r="D382" s="26"/>
      <c r="E382" s="26"/>
      <c r="F382" s="61"/>
      <c r="G382" s="26"/>
    </row>
    <row r="383" spans="1:7" ht="13.5" customHeight="1">
      <c r="A383" s="26"/>
      <c r="B383" s="60"/>
      <c r="C383" s="26"/>
      <c r="D383" s="26"/>
      <c r="E383" s="26"/>
      <c r="F383" s="61"/>
      <c r="G383" s="26"/>
    </row>
    <row r="384" spans="1:7" ht="13.5" customHeight="1">
      <c r="A384" s="26"/>
      <c r="B384" s="60"/>
      <c r="C384" s="26"/>
      <c r="D384" s="26"/>
      <c r="E384" s="26"/>
      <c r="F384" s="61"/>
      <c r="G384" s="26"/>
    </row>
    <row r="385" spans="1:7" ht="13.5" customHeight="1">
      <c r="A385" s="26"/>
      <c r="B385" s="60"/>
      <c r="C385" s="26"/>
      <c r="D385" s="26"/>
      <c r="E385" s="26"/>
      <c r="F385" s="61"/>
      <c r="G385" s="26"/>
    </row>
    <row r="386" spans="1:7" ht="13.5" customHeight="1">
      <c r="A386" s="26"/>
      <c r="B386" s="60"/>
      <c r="C386" s="26"/>
      <c r="D386" s="26"/>
      <c r="E386" s="26"/>
      <c r="F386" s="61"/>
      <c r="G386" s="26"/>
    </row>
    <row r="387" spans="1:7" ht="13.5" customHeight="1">
      <c r="A387" s="26"/>
      <c r="B387" s="60"/>
      <c r="C387" s="26"/>
      <c r="D387" s="26"/>
      <c r="E387" s="26"/>
      <c r="F387" s="61"/>
      <c r="G387" s="26"/>
    </row>
    <row r="388" spans="1:7" ht="13.5" customHeight="1">
      <c r="A388" s="26"/>
      <c r="B388" s="60"/>
      <c r="C388" s="26"/>
      <c r="D388" s="26"/>
      <c r="E388" s="26"/>
      <c r="F388" s="61"/>
      <c r="G388" s="26"/>
    </row>
    <row r="389" spans="1:7" ht="13.5" customHeight="1">
      <c r="A389" s="26"/>
      <c r="B389" s="60"/>
      <c r="C389" s="26"/>
      <c r="D389" s="26"/>
      <c r="E389" s="26"/>
      <c r="F389" s="61"/>
      <c r="G389" s="26"/>
    </row>
    <row r="390" spans="1:7" ht="13.5" customHeight="1">
      <c r="A390" s="26"/>
      <c r="B390" s="60"/>
      <c r="C390" s="26"/>
      <c r="D390" s="26"/>
      <c r="E390" s="26"/>
      <c r="F390" s="61"/>
      <c r="G390" s="26"/>
    </row>
    <row r="391" spans="1:7" ht="13.5" customHeight="1">
      <c r="A391" s="26"/>
      <c r="B391" s="60"/>
      <c r="C391" s="26"/>
      <c r="D391" s="26"/>
      <c r="E391" s="26"/>
      <c r="F391" s="61"/>
      <c r="G391" s="26"/>
    </row>
    <row r="392" spans="1:7" ht="13.5" customHeight="1">
      <c r="A392" s="26"/>
      <c r="B392" s="60"/>
      <c r="C392" s="26"/>
      <c r="D392" s="26"/>
      <c r="E392" s="26"/>
      <c r="F392" s="61"/>
      <c r="G392" s="26"/>
    </row>
    <row r="393" spans="1:7" ht="13.5" customHeight="1">
      <c r="A393" s="26"/>
      <c r="B393" s="60"/>
      <c r="C393" s="26"/>
      <c r="D393" s="26"/>
      <c r="E393" s="26"/>
      <c r="F393" s="61"/>
      <c r="G393" s="26"/>
    </row>
    <row r="394" spans="1:7" ht="13.5" customHeight="1">
      <c r="A394" s="26"/>
      <c r="B394" s="60"/>
      <c r="C394" s="26"/>
      <c r="D394" s="26"/>
      <c r="E394" s="26"/>
      <c r="F394" s="61"/>
      <c r="G394" s="26"/>
    </row>
    <row r="395" spans="1:7" ht="13.5" customHeight="1">
      <c r="A395" s="26"/>
      <c r="B395" s="60"/>
      <c r="C395" s="26"/>
      <c r="D395" s="26"/>
      <c r="E395" s="26"/>
      <c r="F395" s="61"/>
      <c r="G395" s="26"/>
    </row>
    <row r="396" spans="1:7" ht="13.5" customHeight="1">
      <c r="A396" s="26"/>
      <c r="B396" s="60"/>
      <c r="C396" s="26"/>
      <c r="D396" s="26"/>
      <c r="E396" s="26"/>
      <c r="F396" s="61"/>
      <c r="G396" s="26"/>
    </row>
    <row r="397" spans="1:7" ht="13.5" customHeight="1">
      <c r="A397" s="26"/>
      <c r="B397" s="60"/>
      <c r="C397" s="26"/>
      <c r="D397" s="26"/>
      <c r="E397" s="26"/>
      <c r="F397" s="61"/>
      <c r="G397" s="26"/>
    </row>
    <row r="398" spans="1:7" ht="13.5" customHeight="1">
      <c r="A398" s="26"/>
      <c r="B398" s="60"/>
      <c r="C398" s="26"/>
      <c r="D398" s="26"/>
      <c r="E398" s="26"/>
      <c r="F398" s="61"/>
      <c r="G398" s="26"/>
    </row>
    <row r="399" spans="1:7" ht="13.5" customHeight="1">
      <c r="A399" s="26"/>
      <c r="B399" s="60"/>
      <c r="C399" s="26"/>
      <c r="D399" s="26"/>
      <c r="E399" s="26"/>
      <c r="F399" s="61"/>
      <c r="G399" s="26"/>
    </row>
    <row r="400" spans="1:7" ht="13.5" customHeight="1">
      <c r="A400" s="26"/>
      <c r="B400" s="60"/>
      <c r="C400" s="26"/>
      <c r="D400" s="26"/>
      <c r="E400" s="26"/>
      <c r="F400" s="61"/>
      <c r="G400" s="26"/>
    </row>
    <row r="401" spans="1:7" ht="13.5" customHeight="1">
      <c r="A401" s="26"/>
      <c r="B401" s="60"/>
      <c r="C401" s="26"/>
      <c r="D401" s="26"/>
      <c r="E401" s="26"/>
      <c r="F401" s="61"/>
      <c r="G401" s="26"/>
    </row>
    <row r="402" spans="1:7" ht="13.5" customHeight="1">
      <c r="A402" s="26"/>
      <c r="B402" s="60"/>
      <c r="C402" s="26"/>
      <c r="D402" s="26"/>
      <c r="E402" s="26"/>
      <c r="F402" s="61"/>
      <c r="G402" s="26"/>
    </row>
    <row r="403" spans="1:7" ht="13.5" customHeight="1">
      <c r="A403" s="26"/>
      <c r="B403" s="60"/>
      <c r="C403" s="26"/>
      <c r="D403" s="26"/>
      <c r="E403" s="26"/>
      <c r="F403" s="61"/>
      <c r="G403" s="26"/>
    </row>
    <row r="404" spans="1:7" ht="13.5" customHeight="1">
      <c r="A404" s="26"/>
      <c r="B404" s="60"/>
      <c r="C404" s="26"/>
      <c r="D404" s="26"/>
      <c r="E404" s="26"/>
      <c r="F404" s="61"/>
      <c r="G404" s="26"/>
    </row>
    <row r="405" spans="1:7" ht="13.5" customHeight="1">
      <c r="A405" s="26"/>
      <c r="B405" s="60"/>
      <c r="C405" s="26"/>
      <c r="D405" s="26"/>
      <c r="E405" s="26"/>
      <c r="F405" s="61"/>
      <c r="G405" s="26"/>
    </row>
    <row r="406" spans="1:7" ht="13.5" customHeight="1">
      <c r="A406" s="26"/>
      <c r="B406" s="60"/>
      <c r="C406" s="26"/>
      <c r="D406" s="26"/>
      <c r="E406" s="26"/>
      <c r="F406" s="61"/>
      <c r="G406" s="26"/>
    </row>
    <row r="407" spans="1:7" ht="13.5" customHeight="1">
      <c r="A407" s="26"/>
      <c r="B407" s="60"/>
      <c r="C407" s="26"/>
      <c r="D407" s="26"/>
      <c r="E407" s="26"/>
      <c r="F407" s="61"/>
      <c r="G407" s="26"/>
    </row>
    <row r="408" spans="1:7" ht="13.5" customHeight="1">
      <c r="A408" s="26"/>
      <c r="B408" s="60"/>
      <c r="C408" s="26"/>
      <c r="D408" s="26"/>
      <c r="E408" s="26"/>
      <c r="F408" s="61"/>
      <c r="G408" s="26"/>
    </row>
    <row r="409" spans="1:7" ht="13.5" customHeight="1">
      <c r="A409" s="26"/>
      <c r="B409" s="60"/>
      <c r="C409" s="26"/>
      <c r="D409" s="26"/>
      <c r="E409" s="26"/>
      <c r="F409" s="61"/>
      <c r="G409" s="26"/>
    </row>
    <row r="410" spans="1:7" ht="13.5" customHeight="1">
      <c r="A410" s="26"/>
      <c r="B410" s="60"/>
      <c r="C410" s="26"/>
      <c r="D410" s="26"/>
      <c r="E410" s="26"/>
      <c r="F410" s="61"/>
      <c r="G410" s="26"/>
    </row>
    <row r="411" spans="1:7" ht="13.5" customHeight="1">
      <c r="A411" s="26"/>
      <c r="B411" s="60"/>
      <c r="C411" s="26"/>
      <c r="D411" s="26"/>
      <c r="E411" s="26"/>
      <c r="F411" s="61"/>
      <c r="G411" s="26"/>
    </row>
    <row r="412" spans="1:7" ht="13.5" customHeight="1">
      <c r="A412" s="26"/>
      <c r="B412" s="60"/>
      <c r="C412" s="26"/>
      <c r="D412" s="26"/>
      <c r="E412" s="26"/>
      <c r="F412" s="61"/>
      <c r="G412" s="26"/>
    </row>
    <row r="413" spans="1:7" ht="13.5" customHeight="1">
      <c r="A413" s="26"/>
      <c r="B413" s="60"/>
      <c r="C413" s="26"/>
      <c r="D413" s="26"/>
      <c r="E413" s="26"/>
      <c r="F413" s="61"/>
      <c r="G413" s="26"/>
    </row>
    <row r="414" spans="1:7" ht="13.5" customHeight="1">
      <c r="A414" s="26"/>
      <c r="B414" s="60"/>
      <c r="C414" s="26"/>
      <c r="D414" s="26"/>
      <c r="E414" s="26"/>
      <c r="F414" s="61"/>
      <c r="G414" s="26"/>
    </row>
    <row r="415" spans="1:7" ht="13.5" customHeight="1">
      <c r="A415" s="26"/>
      <c r="B415" s="60"/>
      <c r="C415" s="26"/>
      <c r="D415" s="26"/>
      <c r="E415" s="26"/>
      <c r="F415" s="61"/>
      <c r="G415" s="26"/>
    </row>
    <row r="416" spans="1:7" ht="13.5" customHeight="1">
      <c r="A416" s="26"/>
      <c r="B416" s="60"/>
      <c r="C416" s="26"/>
      <c r="D416" s="26"/>
      <c r="E416" s="26"/>
      <c r="F416" s="61"/>
      <c r="G416" s="26"/>
    </row>
    <row r="417" spans="1:7" ht="13.5" customHeight="1">
      <c r="A417" s="26"/>
      <c r="B417" s="60"/>
      <c r="C417" s="26"/>
      <c r="D417" s="26"/>
      <c r="E417" s="26"/>
      <c r="F417" s="61"/>
      <c r="G417" s="26"/>
    </row>
    <row r="418" spans="1:7" ht="13.5" customHeight="1">
      <c r="A418" s="26"/>
      <c r="B418" s="60"/>
      <c r="C418" s="26"/>
      <c r="D418" s="26"/>
      <c r="E418" s="26"/>
      <c r="F418" s="61"/>
      <c r="G418" s="26"/>
    </row>
    <row r="419" spans="1:7" ht="13.5" customHeight="1">
      <c r="A419" s="26"/>
      <c r="B419" s="60"/>
      <c r="C419" s="26"/>
      <c r="D419" s="26"/>
      <c r="E419" s="26"/>
      <c r="F419" s="61"/>
      <c r="G419" s="26"/>
    </row>
    <row r="420" spans="1:7" ht="13.5" customHeight="1">
      <c r="A420" s="26"/>
      <c r="B420" s="60"/>
      <c r="C420" s="26"/>
      <c r="D420" s="26"/>
      <c r="E420" s="26"/>
      <c r="F420" s="61"/>
      <c r="G420" s="26"/>
    </row>
    <row r="421" spans="1:7" ht="13.5" customHeight="1">
      <c r="A421" s="26"/>
      <c r="B421" s="60"/>
      <c r="C421" s="26"/>
      <c r="D421" s="26"/>
      <c r="E421" s="26"/>
      <c r="F421" s="61"/>
      <c r="G421" s="26"/>
    </row>
    <row r="422" spans="1:7" ht="13.5" customHeight="1">
      <c r="A422" s="26"/>
      <c r="B422" s="60"/>
      <c r="C422" s="26"/>
      <c r="D422" s="26"/>
      <c r="E422" s="26"/>
      <c r="F422" s="61"/>
      <c r="G422" s="26"/>
    </row>
    <row r="423" spans="1:7" ht="13.5" customHeight="1">
      <c r="A423" s="26"/>
      <c r="B423" s="60"/>
      <c r="C423" s="26"/>
      <c r="D423" s="26"/>
      <c r="E423" s="26"/>
      <c r="F423" s="61"/>
      <c r="G423" s="26"/>
    </row>
    <row r="424" spans="1:7" ht="13.5" customHeight="1">
      <c r="A424" s="26"/>
      <c r="B424" s="60"/>
      <c r="C424" s="26"/>
      <c r="D424" s="26"/>
      <c r="E424" s="26"/>
      <c r="F424" s="61"/>
      <c r="G424" s="26"/>
    </row>
    <row r="425" spans="1:7" ht="13.5" customHeight="1">
      <c r="A425" s="26"/>
      <c r="B425" s="60"/>
      <c r="C425" s="26"/>
      <c r="D425" s="26"/>
      <c r="E425" s="26"/>
      <c r="F425" s="61"/>
      <c r="G425" s="26"/>
    </row>
    <row r="426" spans="1:7" ht="13.5" customHeight="1">
      <c r="A426" s="26"/>
      <c r="B426" s="60"/>
      <c r="C426" s="26"/>
      <c r="D426" s="26"/>
      <c r="E426" s="26"/>
      <c r="F426" s="61"/>
      <c r="G426" s="26"/>
    </row>
    <row r="427" spans="1:7" ht="13.5" customHeight="1">
      <c r="A427" s="26"/>
      <c r="B427" s="60"/>
      <c r="C427" s="26"/>
      <c r="D427" s="26"/>
      <c r="E427" s="26"/>
      <c r="F427" s="61"/>
      <c r="G427" s="26"/>
    </row>
    <row r="428" spans="1:7" ht="13.5" customHeight="1">
      <c r="A428" s="26"/>
      <c r="B428" s="60"/>
      <c r="C428" s="26"/>
      <c r="D428" s="26"/>
      <c r="E428" s="26"/>
      <c r="F428" s="61"/>
      <c r="G428" s="26"/>
    </row>
    <row r="429" spans="1:7" ht="13.5" customHeight="1">
      <c r="A429" s="26"/>
      <c r="B429" s="60"/>
      <c r="C429" s="26"/>
      <c r="D429" s="26"/>
      <c r="E429" s="26"/>
      <c r="F429" s="61"/>
      <c r="G429" s="26"/>
    </row>
    <row r="430" spans="1:7" ht="13.5" customHeight="1">
      <c r="A430" s="26"/>
      <c r="B430" s="60"/>
      <c r="C430" s="26"/>
      <c r="D430" s="26"/>
      <c r="E430" s="26"/>
      <c r="F430" s="61"/>
      <c r="G430" s="26"/>
    </row>
    <row r="431" spans="1:7" ht="13.5" customHeight="1">
      <c r="A431" s="26"/>
      <c r="B431" s="60"/>
      <c r="C431" s="26"/>
      <c r="D431" s="26"/>
      <c r="E431" s="26"/>
      <c r="F431" s="61"/>
      <c r="G431" s="26"/>
    </row>
    <row r="432" spans="1:7" ht="13.5" customHeight="1">
      <c r="A432" s="26"/>
      <c r="B432" s="60"/>
      <c r="C432" s="26"/>
      <c r="D432" s="26"/>
      <c r="E432" s="26"/>
      <c r="F432" s="61"/>
      <c r="G432" s="26"/>
    </row>
    <row r="433" spans="1:7" ht="13.5" customHeight="1">
      <c r="A433" s="26"/>
      <c r="B433" s="60"/>
      <c r="C433" s="26"/>
      <c r="D433" s="26"/>
      <c r="E433" s="26"/>
      <c r="F433" s="61"/>
      <c r="G433" s="26"/>
    </row>
    <row r="434" spans="1:7" ht="13.5" customHeight="1">
      <c r="A434" s="26"/>
      <c r="B434" s="60"/>
      <c r="C434" s="26"/>
      <c r="D434" s="26"/>
      <c r="E434" s="26"/>
      <c r="F434" s="61"/>
      <c r="G434" s="26"/>
    </row>
    <row r="435" spans="1:7" ht="13.5" customHeight="1">
      <c r="A435" s="26"/>
      <c r="B435" s="60"/>
      <c r="C435" s="26"/>
      <c r="D435" s="26"/>
      <c r="E435" s="26"/>
      <c r="F435" s="61"/>
      <c r="G435" s="26"/>
    </row>
    <row r="436" spans="1:7" ht="13.5" customHeight="1">
      <c r="A436" s="26"/>
      <c r="B436" s="60"/>
      <c r="C436" s="26"/>
      <c r="D436" s="26"/>
      <c r="E436" s="26"/>
      <c r="F436" s="61"/>
      <c r="G436" s="26"/>
    </row>
    <row r="437" spans="1:7" ht="13.5" customHeight="1">
      <c r="A437" s="26"/>
      <c r="B437" s="60"/>
      <c r="C437" s="26"/>
      <c r="D437" s="26"/>
      <c r="E437" s="26"/>
      <c r="F437" s="61"/>
      <c r="G437" s="26"/>
    </row>
    <row r="438" spans="1:7" ht="13.5" customHeight="1">
      <c r="A438" s="26"/>
      <c r="B438" s="60"/>
      <c r="C438" s="26"/>
      <c r="D438" s="26"/>
      <c r="E438" s="26"/>
      <c r="F438" s="61"/>
      <c r="G438" s="26"/>
    </row>
    <row r="439" spans="1:7" ht="13.5" customHeight="1">
      <c r="A439" s="26"/>
      <c r="B439" s="60"/>
      <c r="C439" s="26"/>
      <c r="D439" s="26"/>
      <c r="E439" s="26"/>
      <c r="F439" s="61"/>
      <c r="G439" s="26"/>
    </row>
    <row r="440" spans="1:7" ht="13.5" customHeight="1">
      <c r="A440" s="26"/>
      <c r="B440" s="60"/>
      <c r="C440" s="26"/>
      <c r="D440" s="26"/>
      <c r="E440" s="26"/>
      <c r="F440" s="61"/>
      <c r="G440" s="26"/>
    </row>
    <row r="441" spans="1:7" ht="13.5" customHeight="1">
      <c r="A441" s="26"/>
      <c r="B441" s="60"/>
      <c r="C441" s="26"/>
      <c r="D441" s="26"/>
      <c r="E441" s="26"/>
      <c r="F441" s="61"/>
      <c r="G441" s="26"/>
    </row>
    <row r="442" spans="1:7" ht="13.5" customHeight="1">
      <c r="A442" s="26"/>
      <c r="B442" s="60"/>
      <c r="C442" s="26"/>
      <c r="D442" s="26"/>
      <c r="E442" s="26"/>
      <c r="F442" s="61"/>
      <c r="G442" s="26"/>
    </row>
    <row r="443" spans="1:7" ht="13.5" customHeight="1">
      <c r="A443" s="26"/>
      <c r="B443" s="60"/>
      <c r="C443" s="26"/>
      <c r="D443" s="26"/>
      <c r="E443" s="26"/>
      <c r="F443" s="61"/>
      <c r="G443" s="26"/>
    </row>
    <row r="444" spans="1:7" ht="13.5" customHeight="1">
      <c r="A444" s="26"/>
      <c r="B444" s="60"/>
      <c r="C444" s="26"/>
      <c r="D444" s="26"/>
      <c r="E444" s="26"/>
      <c r="F444" s="61"/>
      <c r="G444" s="26"/>
    </row>
    <row r="445" spans="1:7" ht="13.5" customHeight="1">
      <c r="A445" s="26"/>
      <c r="B445" s="60"/>
      <c r="C445" s="26"/>
      <c r="D445" s="26"/>
      <c r="E445" s="26"/>
      <c r="F445" s="61"/>
      <c r="G445" s="26"/>
    </row>
    <row r="446" spans="1:7" ht="13.5" customHeight="1">
      <c r="A446" s="26"/>
      <c r="B446" s="60"/>
      <c r="C446" s="26"/>
      <c r="D446" s="26"/>
      <c r="E446" s="26"/>
      <c r="F446" s="61"/>
      <c r="G446" s="26"/>
    </row>
    <row r="447" spans="1:7" ht="13.5" customHeight="1">
      <c r="A447" s="26"/>
      <c r="B447" s="60"/>
      <c r="C447" s="26"/>
      <c r="D447" s="26"/>
      <c r="E447" s="26"/>
      <c r="F447" s="61"/>
      <c r="G447" s="26"/>
    </row>
    <row r="448" spans="1:7" ht="13.5" customHeight="1">
      <c r="A448" s="26"/>
      <c r="B448" s="60"/>
      <c r="C448" s="26"/>
      <c r="D448" s="26"/>
      <c r="E448" s="26"/>
      <c r="F448" s="61"/>
      <c r="G448" s="26"/>
    </row>
    <row r="449" spans="1:7" ht="13.5" customHeight="1">
      <c r="A449" s="26"/>
      <c r="B449" s="60"/>
      <c r="C449" s="26"/>
      <c r="D449" s="26"/>
      <c r="E449" s="26"/>
      <c r="F449" s="61"/>
      <c r="G449" s="26"/>
    </row>
    <row r="450" spans="1:7" ht="13.5" customHeight="1">
      <c r="A450" s="26"/>
      <c r="B450" s="60"/>
      <c r="C450" s="26"/>
      <c r="D450" s="26"/>
      <c r="E450" s="26"/>
      <c r="F450" s="61"/>
      <c r="G450" s="26"/>
    </row>
    <row r="451" spans="1:7" ht="13.5" customHeight="1">
      <c r="A451" s="26"/>
      <c r="B451" s="60"/>
      <c r="C451" s="26"/>
      <c r="D451" s="26"/>
      <c r="E451" s="26"/>
      <c r="F451" s="61"/>
      <c r="G451" s="26"/>
    </row>
    <row r="452" spans="1:7" ht="13.5" customHeight="1">
      <c r="A452" s="26"/>
      <c r="B452" s="60"/>
      <c r="C452" s="26"/>
      <c r="D452" s="26"/>
      <c r="E452" s="26"/>
      <c r="F452" s="61"/>
      <c r="G452" s="26"/>
    </row>
    <row r="453" spans="1:7" ht="13.5" customHeight="1">
      <c r="A453" s="26"/>
      <c r="B453" s="60"/>
      <c r="C453" s="26"/>
      <c r="D453" s="26"/>
      <c r="E453" s="26"/>
      <c r="F453" s="61"/>
      <c r="G453" s="26"/>
    </row>
    <row r="454" spans="1:7" ht="13.5" customHeight="1">
      <c r="A454" s="26"/>
      <c r="B454" s="60"/>
      <c r="C454" s="26"/>
      <c r="D454" s="26"/>
      <c r="E454" s="26"/>
      <c r="F454" s="61"/>
      <c r="G454" s="26"/>
    </row>
    <row r="455" spans="1:7" ht="13.5" customHeight="1">
      <c r="A455" s="26"/>
      <c r="B455" s="60"/>
      <c r="C455" s="26"/>
      <c r="D455" s="26"/>
      <c r="E455" s="26"/>
      <c r="F455" s="61"/>
      <c r="G455" s="26"/>
    </row>
    <row r="456" spans="1:7" ht="13.5" customHeight="1">
      <c r="A456" s="26"/>
      <c r="B456" s="60"/>
      <c r="C456" s="26"/>
      <c r="D456" s="26"/>
      <c r="E456" s="26"/>
      <c r="F456" s="61"/>
      <c r="G456" s="26"/>
    </row>
    <row r="457" spans="1:7" ht="13.5" customHeight="1">
      <c r="A457" s="26"/>
      <c r="B457" s="60"/>
      <c r="C457" s="26"/>
      <c r="D457" s="26"/>
      <c r="E457" s="26"/>
      <c r="F457" s="61"/>
      <c r="G457" s="26"/>
    </row>
    <row r="458" spans="1:7" ht="13.5" customHeight="1">
      <c r="A458" s="26"/>
      <c r="B458" s="60"/>
      <c r="C458" s="26"/>
      <c r="D458" s="26"/>
      <c r="E458" s="26"/>
      <c r="F458" s="61"/>
      <c r="G458" s="26"/>
    </row>
    <row r="459" spans="1:7" ht="13.5" customHeight="1">
      <c r="A459" s="26"/>
      <c r="B459" s="60"/>
      <c r="C459" s="26"/>
      <c r="D459" s="26"/>
      <c r="E459" s="26"/>
      <c r="F459" s="61"/>
      <c r="G459" s="26"/>
    </row>
    <row r="460" spans="1:7" ht="13.5" customHeight="1">
      <c r="A460" s="26"/>
      <c r="B460" s="60"/>
      <c r="C460" s="26"/>
      <c r="D460" s="26"/>
      <c r="E460" s="26"/>
      <c r="F460" s="61"/>
      <c r="G460" s="26"/>
    </row>
    <row r="461" spans="1:7" ht="13.5" customHeight="1">
      <c r="A461" s="26"/>
      <c r="B461" s="60"/>
      <c r="C461" s="26"/>
      <c r="D461" s="26"/>
      <c r="E461" s="26"/>
      <c r="F461" s="61"/>
      <c r="G461" s="26"/>
    </row>
    <row r="462" spans="1:7" ht="13.5" customHeight="1">
      <c r="A462" s="26"/>
      <c r="B462" s="60"/>
      <c r="C462" s="26"/>
      <c r="D462" s="26"/>
      <c r="E462" s="26"/>
      <c r="F462" s="61"/>
      <c r="G462" s="26"/>
    </row>
    <row r="463" spans="1:7" ht="13.5" customHeight="1">
      <c r="A463" s="26"/>
      <c r="B463" s="60"/>
      <c r="C463" s="26"/>
      <c r="D463" s="26"/>
      <c r="E463" s="26"/>
      <c r="F463" s="61"/>
      <c r="G463" s="26"/>
    </row>
    <row r="464" spans="1:7" ht="13.5" customHeight="1">
      <c r="A464" s="26"/>
      <c r="B464" s="60"/>
      <c r="C464" s="26"/>
      <c r="D464" s="26"/>
      <c r="E464" s="26"/>
      <c r="F464" s="61"/>
      <c r="G464" s="26"/>
    </row>
    <row r="465" spans="1:7" ht="13.5" customHeight="1">
      <c r="A465" s="26"/>
      <c r="B465" s="60"/>
      <c r="C465" s="26"/>
      <c r="D465" s="26"/>
      <c r="E465" s="26"/>
      <c r="F465" s="61"/>
      <c r="G465" s="26"/>
    </row>
    <row r="466" spans="1:7" ht="13.5" customHeight="1">
      <c r="A466" s="26"/>
      <c r="B466" s="60"/>
      <c r="C466" s="26"/>
      <c r="D466" s="26"/>
      <c r="E466" s="26"/>
      <c r="F466" s="61"/>
      <c r="G466" s="26"/>
    </row>
    <row r="467" spans="1:7" ht="13.5" customHeight="1">
      <c r="A467" s="26"/>
      <c r="B467" s="60"/>
      <c r="C467" s="26"/>
      <c r="D467" s="26"/>
      <c r="E467" s="26"/>
      <c r="F467" s="61"/>
      <c r="G467" s="26"/>
    </row>
    <row r="468" spans="1:7" ht="13.5" customHeight="1">
      <c r="A468" s="26"/>
      <c r="B468" s="60"/>
      <c r="C468" s="26"/>
      <c r="D468" s="26"/>
      <c r="E468" s="26"/>
      <c r="F468" s="61"/>
      <c r="G468" s="26"/>
    </row>
    <row r="469" spans="1:7" ht="13.5" customHeight="1">
      <c r="A469" s="26"/>
      <c r="B469" s="60"/>
      <c r="C469" s="26"/>
      <c r="D469" s="26"/>
      <c r="E469" s="26"/>
      <c r="F469" s="61"/>
      <c r="G469" s="26"/>
    </row>
    <row r="470" spans="1:7" ht="13.5" customHeight="1">
      <c r="A470" s="26"/>
      <c r="B470" s="60"/>
      <c r="C470" s="26"/>
      <c r="D470" s="26"/>
      <c r="E470" s="26"/>
      <c r="F470" s="61"/>
      <c r="G470" s="26"/>
    </row>
    <row r="471" spans="1:7" ht="13.5" customHeight="1">
      <c r="A471" s="26"/>
      <c r="B471" s="60"/>
      <c r="C471" s="26"/>
      <c r="D471" s="26"/>
      <c r="E471" s="26"/>
      <c r="F471" s="61"/>
      <c r="G471" s="26"/>
    </row>
    <row r="472" spans="1:7" ht="13.5" customHeight="1">
      <c r="A472" s="26"/>
      <c r="B472" s="60"/>
      <c r="C472" s="26"/>
      <c r="D472" s="26"/>
      <c r="E472" s="26"/>
      <c r="F472" s="61"/>
      <c r="G472" s="26"/>
    </row>
    <row r="473" spans="1:7" ht="13.5" customHeight="1">
      <c r="A473" s="26"/>
      <c r="B473" s="60"/>
      <c r="C473" s="26"/>
      <c r="D473" s="26"/>
      <c r="E473" s="26"/>
      <c r="F473" s="61"/>
      <c r="G473" s="26"/>
    </row>
    <row r="474" spans="1:7" ht="13.5" customHeight="1">
      <c r="A474" s="26"/>
      <c r="B474" s="60"/>
      <c r="C474" s="26"/>
      <c r="D474" s="26"/>
      <c r="E474" s="26"/>
      <c r="F474" s="61"/>
      <c r="G474" s="26"/>
    </row>
    <row r="475" spans="1:7" ht="13.5" customHeight="1">
      <c r="A475" s="26"/>
      <c r="B475" s="60"/>
      <c r="C475" s="26"/>
      <c r="D475" s="26"/>
      <c r="E475" s="26"/>
      <c r="F475" s="61"/>
      <c r="G475" s="26"/>
    </row>
    <row r="476" spans="1:7" ht="13.5" customHeight="1">
      <c r="A476" s="26"/>
      <c r="B476" s="60"/>
      <c r="C476" s="26"/>
      <c r="D476" s="26"/>
      <c r="E476" s="26"/>
      <c r="F476" s="61"/>
      <c r="G476" s="26"/>
    </row>
    <row r="477" spans="1:7" ht="13.5" customHeight="1">
      <c r="A477" s="26"/>
      <c r="B477" s="60"/>
      <c r="C477" s="26"/>
      <c r="D477" s="26"/>
      <c r="E477" s="26"/>
      <c r="F477" s="61"/>
      <c r="G477" s="26"/>
    </row>
    <row r="478" spans="1:7" ht="13.5" customHeight="1">
      <c r="A478" s="26"/>
      <c r="B478" s="60"/>
      <c r="C478" s="26"/>
      <c r="D478" s="26"/>
      <c r="E478" s="26"/>
      <c r="F478" s="61"/>
      <c r="G478" s="26"/>
    </row>
    <row r="479" spans="1:7" ht="13.5" customHeight="1">
      <c r="A479" s="26"/>
      <c r="B479" s="60"/>
      <c r="C479" s="26"/>
      <c r="D479" s="26"/>
      <c r="E479" s="26"/>
      <c r="F479" s="61"/>
      <c r="G479" s="26"/>
    </row>
    <row r="480" spans="1:7" ht="13.5" customHeight="1">
      <c r="A480" s="26"/>
      <c r="B480" s="60"/>
      <c r="C480" s="26"/>
      <c r="D480" s="26"/>
      <c r="E480" s="26"/>
      <c r="F480" s="61"/>
      <c r="G480" s="26"/>
    </row>
    <row r="481" spans="1:7" ht="13.5" customHeight="1">
      <c r="A481" s="26"/>
      <c r="B481" s="60"/>
      <c r="C481" s="26"/>
      <c r="D481" s="26"/>
      <c r="E481" s="26"/>
      <c r="F481" s="61"/>
      <c r="G481" s="26"/>
    </row>
    <row r="482" spans="1:7" ht="13.5" customHeight="1">
      <c r="A482" s="26"/>
      <c r="B482" s="60"/>
      <c r="C482" s="26"/>
      <c r="D482" s="26"/>
      <c r="E482" s="26"/>
      <c r="F482" s="61"/>
      <c r="G482" s="26"/>
    </row>
    <row r="483" spans="1:7" ht="13.5" customHeight="1">
      <c r="A483" s="26"/>
      <c r="B483" s="60"/>
      <c r="C483" s="26"/>
      <c r="D483" s="26"/>
      <c r="E483" s="26"/>
      <c r="F483" s="61"/>
      <c r="G483" s="26"/>
    </row>
    <row r="484" spans="1:7" ht="13.5" customHeight="1">
      <c r="A484" s="26"/>
      <c r="B484" s="60"/>
      <c r="C484" s="26"/>
      <c r="D484" s="26"/>
      <c r="E484" s="26"/>
      <c r="F484" s="61"/>
      <c r="G484" s="26"/>
    </row>
    <row r="485" spans="1:7" ht="13.5" customHeight="1">
      <c r="A485" s="26"/>
      <c r="B485" s="60"/>
      <c r="C485" s="26"/>
      <c r="D485" s="26"/>
      <c r="E485" s="26"/>
      <c r="F485" s="61"/>
      <c r="G485" s="26"/>
    </row>
    <row r="486" spans="1:7" ht="13.5" customHeight="1">
      <c r="A486" s="26"/>
      <c r="B486" s="60"/>
      <c r="C486" s="26"/>
      <c r="D486" s="26"/>
      <c r="E486" s="26"/>
      <c r="F486" s="61"/>
      <c r="G486" s="26"/>
    </row>
    <row r="487" spans="1:7" ht="13.5" customHeight="1">
      <c r="A487" s="26"/>
      <c r="B487" s="60"/>
      <c r="C487" s="26"/>
      <c r="D487" s="26"/>
      <c r="E487" s="26"/>
      <c r="F487" s="61"/>
      <c r="G487" s="26"/>
    </row>
    <row r="488" spans="1:7" ht="13.5" customHeight="1">
      <c r="A488" s="26"/>
      <c r="B488" s="60"/>
      <c r="C488" s="26"/>
      <c r="D488" s="26"/>
      <c r="E488" s="26"/>
      <c r="F488" s="61"/>
      <c r="G488" s="26"/>
    </row>
    <row r="489" spans="1:7" ht="13.5" customHeight="1">
      <c r="A489" s="26"/>
      <c r="B489" s="60"/>
      <c r="C489" s="26"/>
      <c r="D489" s="26"/>
      <c r="E489" s="26"/>
      <c r="F489" s="61"/>
      <c r="G489" s="26"/>
    </row>
    <row r="490" spans="1:7" ht="13.5" customHeight="1">
      <c r="A490" s="26"/>
      <c r="B490" s="60"/>
      <c r="C490" s="26"/>
      <c r="D490" s="26"/>
      <c r="E490" s="26"/>
      <c r="F490" s="61"/>
      <c r="G490" s="26"/>
    </row>
    <row r="491" spans="1:7" ht="13.5" customHeight="1">
      <c r="A491" s="26"/>
      <c r="B491" s="60"/>
      <c r="C491" s="26"/>
      <c r="D491" s="26"/>
      <c r="E491" s="26"/>
      <c r="F491" s="61"/>
      <c r="G491" s="26"/>
    </row>
    <row r="492" spans="1:7" ht="13.5" customHeight="1">
      <c r="A492" s="26"/>
      <c r="B492" s="60"/>
      <c r="C492" s="26"/>
      <c r="D492" s="26"/>
      <c r="E492" s="26"/>
      <c r="F492" s="61"/>
      <c r="G492" s="26"/>
    </row>
    <row r="493" spans="1:7" ht="13.5" customHeight="1">
      <c r="A493" s="26"/>
      <c r="B493" s="60"/>
      <c r="C493" s="26"/>
      <c r="D493" s="26"/>
      <c r="E493" s="26"/>
      <c r="F493" s="61"/>
      <c r="G493" s="26"/>
    </row>
    <row r="494" spans="1:7" ht="13.5" customHeight="1">
      <c r="A494" s="26"/>
      <c r="B494" s="60"/>
      <c r="C494" s="26"/>
      <c r="D494" s="26"/>
      <c r="E494" s="26"/>
      <c r="F494" s="61"/>
      <c r="G494" s="26"/>
    </row>
    <row r="495" spans="1:7" ht="13.5" customHeight="1">
      <c r="A495" s="26"/>
      <c r="B495" s="60"/>
      <c r="C495" s="26"/>
      <c r="D495" s="26"/>
      <c r="E495" s="26"/>
      <c r="F495" s="61"/>
      <c r="G495" s="26"/>
    </row>
    <row r="496" spans="1:7" ht="13.5" customHeight="1">
      <c r="A496" s="26"/>
      <c r="B496" s="60"/>
      <c r="C496" s="26"/>
      <c r="D496" s="26"/>
      <c r="E496" s="26"/>
      <c r="F496" s="61"/>
      <c r="G496" s="26"/>
    </row>
    <row r="497" spans="1:7" ht="13.5" customHeight="1">
      <c r="A497" s="26"/>
      <c r="B497" s="60"/>
      <c r="C497" s="26"/>
      <c r="D497" s="26"/>
      <c r="E497" s="26"/>
      <c r="F497" s="61"/>
      <c r="G497" s="26"/>
    </row>
    <row r="498" spans="1:7" ht="13.5" customHeight="1">
      <c r="A498" s="26"/>
      <c r="B498" s="60"/>
      <c r="C498" s="26"/>
      <c r="D498" s="26"/>
      <c r="E498" s="26"/>
      <c r="F498" s="61"/>
      <c r="G498" s="26"/>
    </row>
    <row r="499" spans="1:7" ht="13.5" customHeight="1">
      <c r="A499" s="26"/>
      <c r="B499" s="60"/>
      <c r="C499" s="26"/>
      <c r="D499" s="26"/>
      <c r="E499" s="26"/>
      <c r="F499" s="61"/>
      <c r="G499" s="26"/>
    </row>
    <row r="500" spans="1:7" ht="13.5" customHeight="1">
      <c r="A500" s="26"/>
      <c r="B500" s="60"/>
      <c r="C500" s="26"/>
      <c r="D500" s="26"/>
      <c r="E500" s="26"/>
      <c r="F500" s="61"/>
      <c r="G500" s="26"/>
    </row>
    <row r="501" spans="1:7" ht="13.5" customHeight="1">
      <c r="A501" s="26"/>
      <c r="B501" s="60"/>
      <c r="C501" s="26"/>
      <c r="D501" s="26"/>
      <c r="E501" s="26"/>
      <c r="F501" s="61"/>
      <c r="G501" s="26"/>
    </row>
    <row r="502" spans="1:7" ht="13.5" customHeight="1">
      <c r="A502" s="26"/>
      <c r="B502" s="60"/>
      <c r="C502" s="26"/>
      <c r="D502" s="26"/>
      <c r="E502" s="26"/>
      <c r="F502" s="61"/>
      <c r="G502" s="26"/>
    </row>
    <row r="503" spans="1:7" ht="13.5" customHeight="1">
      <c r="A503" s="26"/>
      <c r="B503" s="60"/>
      <c r="C503" s="26"/>
      <c r="D503" s="26"/>
      <c r="E503" s="26"/>
      <c r="F503" s="61"/>
      <c r="G503" s="26"/>
    </row>
    <row r="504" spans="1:7" ht="13.5" customHeight="1">
      <c r="A504" s="26"/>
      <c r="B504" s="60"/>
      <c r="C504" s="26"/>
      <c r="D504" s="26"/>
      <c r="E504" s="26"/>
      <c r="F504" s="61"/>
      <c r="G504" s="26"/>
    </row>
    <row r="505" spans="1:7" ht="13.5" customHeight="1">
      <c r="A505" s="26"/>
      <c r="B505" s="60"/>
      <c r="C505" s="26"/>
      <c r="D505" s="26"/>
      <c r="E505" s="26"/>
      <c r="F505" s="61"/>
      <c r="G505" s="26"/>
    </row>
    <row r="506" spans="1:7" ht="13.5" customHeight="1">
      <c r="A506" s="26"/>
      <c r="B506" s="60"/>
      <c r="C506" s="26"/>
      <c r="D506" s="26"/>
      <c r="E506" s="26"/>
      <c r="F506" s="61"/>
      <c r="G506" s="26"/>
    </row>
    <row r="507" spans="1:7" ht="13.5" customHeight="1">
      <c r="A507" s="26"/>
      <c r="B507" s="60"/>
      <c r="C507" s="26"/>
      <c r="D507" s="26"/>
      <c r="E507" s="26"/>
      <c r="F507" s="61"/>
      <c r="G507" s="26"/>
    </row>
    <row r="508" spans="1:7" ht="13.5" customHeight="1">
      <c r="A508" s="26"/>
      <c r="B508" s="60"/>
      <c r="C508" s="26"/>
      <c r="D508" s="26"/>
      <c r="E508" s="26"/>
      <c r="F508" s="61"/>
      <c r="G508" s="26"/>
    </row>
    <row r="509" spans="1:7" ht="13.5" customHeight="1">
      <c r="A509" s="26"/>
      <c r="B509" s="60"/>
      <c r="C509" s="26"/>
      <c r="D509" s="26"/>
      <c r="E509" s="26"/>
      <c r="F509" s="61"/>
      <c r="G509" s="26"/>
    </row>
    <row r="510" spans="1:7" ht="13.5" customHeight="1">
      <c r="A510" s="26"/>
      <c r="B510" s="60"/>
      <c r="C510" s="26"/>
      <c r="D510" s="26"/>
      <c r="E510" s="26"/>
      <c r="F510" s="61"/>
      <c r="G510" s="26"/>
    </row>
    <row r="511" spans="1:7" ht="13.5" customHeight="1">
      <c r="A511" s="26"/>
      <c r="B511" s="60"/>
      <c r="C511" s="26"/>
      <c r="D511" s="26"/>
      <c r="E511" s="26"/>
      <c r="F511" s="61"/>
      <c r="G511" s="26"/>
    </row>
    <row r="512" spans="1:7" ht="13.5" customHeight="1">
      <c r="A512" s="26"/>
      <c r="B512" s="60"/>
      <c r="C512" s="26"/>
      <c r="D512" s="26"/>
      <c r="E512" s="26"/>
      <c r="F512" s="61"/>
      <c r="G512" s="26"/>
    </row>
    <row r="513" spans="1:7" ht="13.5" customHeight="1">
      <c r="A513" s="26"/>
      <c r="B513" s="60"/>
      <c r="C513" s="26"/>
      <c r="D513" s="26"/>
      <c r="E513" s="26"/>
      <c r="F513" s="61"/>
      <c r="G513" s="26"/>
    </row>
    <row r="514" spans="1:7" ht="13.5" customHeight="1">
      <c r="A514" s="26"/>
      <c r="B514" s="60"/>
      <c r="C514" s="26"/>
      <c r="D514" s="26"/>
      <c r="E514" s="26"/>
      <c r="F514" s="61"/>
      <c r="G514" s="26"/>
    </row>
    <row r="515" spans="1:7" ht="13.5" customHeight="1">
      <c r="A515" s="26"/>
      <c r="B515" s="60"/>
      <c r="C515" s="26"/>
      <c r="D515" s="26"/>
      <c r="E515" s="26"/>
      <c r="F515" s="61"/>
      <c r="G515" s="26"/>
    </row>
    <row r="516" spans="1:7" ht="13.5" customHeight="1">
      <c r="A516" s="26"/>
      <c r="B516" s="60"/>
      <c r="C516" s="26"/>
      <c r="D516" s="26"/>
      <c r="E516" s="26"/>
      <c r="F516" s="61"/>
      <c r="G516" s="26"/>
    </row>
    <row r="517" spans="1:7" ht="13.5" customHeight="1">
      <c r="A517" s="26"/>
      <c r="B517" s="60"/>
      <c r="C517" s="26"/>
      <c r="D517" s="26"/>
      <c r="E517" s="26"/>
      <c r="F517" s="61"/>
      <c r="G517" s="26"/>
    </row>
    <row r="518" spans="1:7" ht="13.5" customHeight="1">
      <c r="A518" s="26"/>
      <c r="B518" s="60"/>
      <c r="C518" s="26"/>
      <c r="D518" s="26"/>
      <c r="E518" s="26"/>
      <c r="F518" s="61"/>
      <c r="G518" s="26"/>
    </row>
    <row r="519" spans="1:7" ht="13.5" customHeight="1">
      <c r="A519" s="26"/>
      <c r="B519" s="60"/>
      <c r="C519" s="26"/>
      <c r="D519" s="26"/>
      <c r="E519" s="26"/>
      <c r="F519" s="61"/>
      <c r="G519" s="26"/>
    </row>
    <row r="520" spans="1:7" ht="13.5" customHeight="1">
      <c r="A520" s="26"/>
      <c r="B520" s="60"/>
      <c r="C520" s="26"/>
      <c r="D520" s="26"/>
      <c r="E520" s="26"/>
      <c r="F520" s="61"/>
      <c r="G520" s="26"/>
    </row>
    <row r="521" spans="1:7" ht="13.5" customHeight="1">
      <c r="A521" s="26"/>
      <c r="B521" s="60"/>
      <c r="C521" s="26"/>
      <c r="D521" s="26"/>
      <c r="E521" s="26"/>
      <c r="F521" s="61"/>
      <c r="G521" s="26"/>
    </row>
    <row r="522" spans="1:7" ht="13.5" customHeight="1">
      <c r="A522" s="26"/>
      <c r="B522" s="60"/>
      <c r="C522" s="26"/>
      <c r="D522" s="26"/>
      <c r="E522" s="26"/>
      <c r="F522" s="61"/>
      <c r="G522" s="26"/>
    </row>
    <row r="523" spans="1:7" ht="13.5" customHeight="1">
      <c r="A523" s="26"/>
      <c r="B523" s="60"/>
      <c r="C523" s="26"/>
      <c r="D523" s="26"/>
      <c r="E523" s="26"/>
      <c r="F523" s="61"/>
      <c r="G523" s="26"/>
    </row>
    <row r="524" spans="1:7" ht="13.5" customHeight="1">
      <c r="A524" s="26"/>
      <c r="B524" s="60"/>
      <c r="C524" s="26"/>
      <c r="D524" s="26"/>
      <c r="E524" s="26"/>
      <c r="F524" s="61"/>
      <c r="G524" s="26"/>
    </row>
    <row r="525" spans="1:7" ht="13.5" customHeight="1">
      <c r="A525" s="26"/>
      <c r="B525" s="60"/>
      <c r="C525" s="26"/>
      <c r="D525" s="26"/>
      <c r="E525" s="26"/>
      <c r="F525" s="61"/>
      <c r="G525" s="26"/>
    </row>
    <row r="526" spans="1:7" ht="13.5" customHeight="1">
      <c r="A526" s="26"/>
      <c r="B526" s="60"/>
      <c r="C526" s="26"/>
      <c r="D526" s="26"/>
      <c r="E526" s="26"/>
      <c r="F526" s="61"/>
      <c r="G526" s="26"/>
    </row>
    <row r="527" spans="1:7" ht="13.5" customHeight="1">
      <c r="A527" s="26"/>
      <c r="B527" s="60"/>
      <c r="C527" s="26"/>
      <c r="D527" s="26"/>
      <c r="E527" s="26"/>
      <c r="F527" s="61"/>
      <c r="G527" s="26"/>
    </row>
    <row r="528" spans="1:7" ht="13.5" customHeight="1">
      <c r="A528" s="26"/>
      <c r="B528" s="60"/>
      <c r="C528" s="26"/>
      <c r="D528" s="26"/>
      <c r="E528" s="26"/>
      <c r="F528" s="61"/>
      <c r="G528" s="26"/>
    </row>
    <row r="529" spans="1:7" ht="13.5" customHeight="1">
      <c r="A529" s="26"/>
      <c r="B529" s="60"/>
      <c r="C529" s="26"/>
      <c r="D529" s="26"/>
      <c r="E529" s="26"/>
      <c r="F529" s="61"/>
      <c r="G529" s="26"/>
    </row>
    <row r="530" spans="1:7" ht="13.5" customHeight="1">
      <c r="A530" s="26"/>
      <c r="B530" s="60"/>
      <c r="C530" s="26"/>
      <c r="D530" s="26"/>
      <c r="E530" s="26"/>
      <c r="F530" s="61"/>
      <c r="G530" s="26"/>
    </row>
    <row r="531" spans="1:7" ht="13.5" customHeight="1">
      <c r="A531" s="26"/>
      <c r="B531" s="60"/>
      <c r="C531" s="26"/>
      <c r="D531" s="26"/>
      <c r="E531" s="26"/>
      <c r="F531" s="61"/>
      <c r="G531" s="26"/>
    </row>
    <row r="532" spans="1:7" ht="13.5" customHeight="1">
      <c r="A532" s="26"/>
      <c r="B532" s="60"/>
      <c r="C532" s="26"/>
      <c r="D532" s="26"/>
      <c r="E532" s="26"/>
      <c r="F532" s="61"/>
      <c r="G532" s="26"/>
    </row>
    <row r="533" spans="1:7" ht="13.5" customHeight="1">
      <c r="A533" s="26"/>
      <c r="B533" s="60"/>
      <c r="C533" s="26"/>
      <c r="D533" s="26"/>
      <c r="E533" s="26"/>
      <c r="F533" s="61"/>
      <c r="G533" s="26"/>
    </row>
    <row r="534" spans="1:7" ht="13.5" customHeight="1">
      <c r="A534" s="26"/>
      <c r="B534" s="60"/>
      <c r="C534" s="26"/>
      <c r="D534" s="26"/>
      <c r="E534" s="26"/>
      <c r="F534" s="61"/>
      <c r="G534" s="26"/>
    </row>
    <row r="535" spans="1:7" ht="13.5" customHeight="1">
      <c r="A535" s="26"/>
      <c r="B535" s="60"/>
      <c r="C535" s="26"/>
      <c r="D535" s="26"/>
      <c r="E535" s="26"/>
      <c r="F535" s="61"/>
      <c r="G535" s="26"/>
    </row>
    <row r="536" spans="1:7" ht="13.5" customHeight="1">
      <c r="A536" s="26"/>
      <c r="B536" s="60"/>
      <c r="C536" s="26"/>
      <c r="D536" s="26"/>
      <c r="E536" s="26"/>
      <c r="F536" s="61"/>
      <c r="G536" s="26"/>
    </row>
    <row r="537" spans="1:7" ht="13.5" customHeight="1">
      <c r="A537" s="26"/>
      <c r="B537" s="60"/>
      <c r="C537" s="26"/>
      <c r="D537" s="26"/>
      <c r="E537" s="26"/>
      <c r="F537" s="61"/>
      <c r="G537" s="26"/>
    </row>
    <row r="538" spans="1:7" ht="13.5" customHeight="1">
      <c r="A538" s="26"/>
      <c r="B538" s="60"/>
      <c r="C538" s="26"/>
      <c r="D538" s="26"/>
      <c r="E538" s="26"/>
      <c r="F538" s="61"/>
      <c r="G538" s="26"/>
    </row>
    <row r="539" spans="1:7" ht="13.5" customHeight="1">
      <c r="A539" s="26"/>
      <c r="B539" s="60"/>
      <c r="C539" s="26"/>
      <c r="D539" s="26"/>
      <c r="E539" s="26"/>
      <c r="F539" s="61"/>
      <c r="G539" s="26"/>
    </row>
    <row r="540" spans="1:7" ht="13.5" customHeight="1">
      <c r="A540" s="26"/>
      <c r="B540" s="60"/>
      <c r="C540" s="26"/>
      <c r="D540" s="26"/>
      <c r="E540" s="26"/>
      <c r="F540" s="61"/>
      <c r="G540" s="26"/>
    </row>
    <row r="541" spans="1:7" ht="13.5" customHeight="1">
      <c r="A541" s="26"/>
      <c r="B541" s="60"/>
      <c r="C541" s="26"/>
      <c r="D541" s="26"/>
      <c r="E541" s="26"/>
      <c r="F541" s="61"/>
      <c r="G541" s="26"/>
    </row>
    <row r="542" spans="1:7" ht="13.5" customHeight="1">
      <c r="A542" s="26"/>
      <c r="B542" s="60"/>
      <c r="C542" s="26"/>
      <c r="D542" s="26"/>
      <c r="E542" s="26"/>
      <c r="F542" s="61"/>
      <c r="G542" s="26"/>
    </row>
    <row r="543" spans="1:7" ht="13.5" customHeight="1">
      <c r="A543" s="26"/>
      <c r="B543" s="60"/>
      <c r="C543" s="26"/>
      <c r="D543" s="26"/>
      <c r="E543" s="26"/>
      <c r="F543" s="61"/>
      <c r="G543" s="26"/>
    </row>
    <row r="544" spans="1:7" ht="13.5" customHeight="1">
      <c r="A544" s="26"/>
      <c r="B544" s="60"/>
      <c r="C544" s="26"/>
      <c r="D544" s="26"/>
      <c r="E544" s="26"/>
      <c r="F544" s="61"/>
      <c r="G544" s="26"/>
    </row>
    <row r="545" spans="1:7" ht="13.5" customHeight="1">
      <c r="A545" s="26"/>
      <c r="B545" s="60"/>
      <c r="C545" s="26"/>
      <c r="D545" s="26"/>
      <c r="E545" s="26"/>
      <c r="F545" s="61"/>
      <c r="G545" s="26"/>
    </row>
    <row r="546" spans="1:7" ht="13.5" customHeight="1">
      <c r="A546" s="26"/>
      <c r="B546" s="60"/>
      <c r="C546" s="26"/>
      <c r="D546" s="26"/>
      <c r="E546" s="26"/>
      <c r="F546" s="61"/>
      <c r="G546" s="26"/>
    </row>
    <row r="547" spans="1:7" ht="13.5" customHeight="1">
      <c r="A547" s="26"/>
      <c r="B547" s="60"/>
      <c r="C547" s="26"/>
      <c r="D547" s="26"/>
      <c r="E547" s="26"/>
      <c r="F547" s="61"/>
      <c r="G547" s="26"/>
    </row>
    <row r="548" spans="1:7" ht="13.5" customHeight="1">
      <c r="A548" s="26"/>
      <c r="B548" s="60"/>
      <c r="C548" s="26"/>
      <c r="D548" s="26"/>
      <c r="E548" s="26"/>
      <c r="F548" s="61"/>
      <c r="G548" s="26"/>
    </row>
    <row r="549" spans="1:7" ht="13.5" customHeight="1">
      <c r="A549" s="26"/>
      <c r="B549" s="60"/>
      <c r="C549" s="26"/>
      <c r="D549" s="26"/>
      <c r="E549" s="26"/>
      <c r="F549" s="61"/>
      <c r="G549" s="26"/>
    </row>
    <row r="550" spans="1:7" ht="13.5" customHeight="1">
      <c r="A550" s="26"/>
      <c r="B550" s="60"/>
      <c r="C550" s="26"/>
      <c r="D550" s="26"/>
      <c r="E550" s="26"/>
      <c r="F550" s="61"/>
      <c r="G550" s="26"/>
    </row>
    <row r="551" spans="1:7" ht="13.5" customHeight="1">
      <c r="A551" s="26"/>
      <c r="B551" s="60"/>
      <c r="C551" s="26"/>
      <c r="D551" s="26"/>
      <c r="E551" s="26"/>
      <c r="F551" s="61"/>
      <c r="G551" s="26"/>
    </row>
    <row r="552" spans="1:7" ht="13.5" customHeight="1">
      <c r="A552" s="26"/>
      <c r="B552" s="60"/>
      <c r="C552" s="26"/>
      <c r="D552" s="26"/>
      <c r="E552" s="26"/>
      <c r="F552" s="61"/>
      <c r="G552" s="26"/>
    </row>
    <row r="553" spans="1:7" ht="13.5" customHeight="1">
      <c r="A553" s="26"/>
      <c r="B553" s="60"/>
      <c r="C553" s="26"/>
      <c r="D553" s="26"/>
      <c r="E553" s="26"/>
      <c r="F553" s="61"/>
      <c r="G553" s="26"/>
    </row>
    <row r="554" spans="1:7" ht="13.5" customHeight="1">
      <c r="A554" s="26"/>
      <c r="B554" s="60"/>
      <c r="C554" s="26"/>
      <c r="D554" s="26"/>
      <c r="E554" s="26"/>
      <c r="F554" s="61"/>
      <c r="G554" s="26"/>
    </row>
    <row r="555" spans="1:7" ht="13.5" customHeight="1">
      <c r="A555" s="26"/>
      <c r="B555" s="60"/>
      <c r="C555" s="26"/>
      <c r="D555" s="26"/>
      <c r="E555" s="26"/>
      <c r="F555" s="61"/>
      <c r="G555" s="26"/>
    </row>
    <row r="556" spans="1:7" ht="13.5" customHeight="1">
      <c r="A556" s="26"/>
      <c r="B556" s="60"/>
      <c r="C556" s="26"/>
      <c r="D556" s="26"/>
      <c r="E556" s="26"/>
      <c r="F556" s="61"/>
      <c r="G556" s="26"/>
    </row>
    <row r="557" spans="1:7" ht="13.5" customHeight="1">
      <c r="A557" s="26"/>
      <c r="B557" s="60"/>
      <c r="C557" s="26"/>
      <c r="D557" s="26"/>
      <c r="E557" s="26"/>
      <c r="F557" s="61"/>
      <c r="G557" s="26"/>
    </row>
    <row r="558" spans="1:7" ht="13.5" customHeight="1">
      <c r="A558" s="26"/>
      <c r="B558" s="60"/>
      <c r="C558" s="26"/>
      <c r="D558" s="26"/>
      <c r="E558" s="26"/>
      <c r="F558" s="61"/>
      <c r="G558" s="26"/>
    </row>
    <row r="559" spans="1:7" ht="13.5" customHeight="1">
      <c r="A559" s="26"/>
      <c r="B559" s="60"/>
      <c r="C559" s="26"/>
      <c r="D559" s="26"/>
      <c r="E559" s="26"/>
      <c r="F559" s="61"/>
      <c r="G559" s="26"/>
    </row>
    <row r="560" spans="1:7" ht="13.5" customHeight="1">
      <c r="A560" s="26"/>
      <c r="B560" s="60"/>
      <c r="C560" s="26"/>
      <c r="D560" s="26"/>
      <c r="E560" s="26"/>
      <c r="F560" s="61"/>
      <c r="G560" s="26"/>
    </row>
    <row r="561" spans="1:7" ht="13.5" customHeight="1">
      <c r="A561" s="26"/>
      <c r="B561" s="60"/>
      <c r="C561" s="26"/>
      <c r="D561" s="26"/>
      <c r="E561" s="26"/>
      <c r="F561" s="61"/>
      <c r="G561" s="26"/>
    </row>
    <row r="562" spans="1:7" ht="13.5" customHeight="1">
      <c r="A562" s="26"/>
      <c r="B562" s="60"/>
      <c r="C562" s="26"/>
      <c r="D562" s="26"/>
      <c r="E562" s="26"/>
      <c r="F562" s="61"/>
      <c r="G562" s="26"/>
    </row>
    <row r="563" spans="1:7" ht="13.5" customHeight="1">
      <c r="A563" s="26"/>
      <c r="B563" s="60"/>
      <c r="C563" s="26"/>
      <c r="D563" s="26"/>
      <c r="E563" s="26"/>
      <c r="F563" s="61"/>
      <c r="G563" s="26"/>
    </row>
    <row r="564" spans="1:7" ht="13.5" customHeight="1">
      <c r="A564" s="26"/>
      <c r="B564" s="60"/>
      <c r="C564" s="26"/>
      <c r="D564" s="26"/>
      <c r="E564" s="26"/>
      <c r="F564" s="61"/>
      <c r="G564" s="26"/>
    </row>
    <row r="565" spans="1:7" ht="13.5" customHeight="1">
      <c r="A565" s="26"/>
      <c r="B565" s="60"/>
      <c r="C565" s="26"/>
      <c r="D565" s="26"/>
      <c r="E565" s="26"/>
      <c r="F565" s="61"/>
      <c r="G565" s="26"/>
    </row>
    <row r="566" spans="1:7" ht="13.5" customHeight="1">
      <c r="A566" s="26"/>
      <c r="B566" s="60"/>
      <c r="C566" s="26"/>
      <c r="D566" s="26"/>
      <c r="E566" s="26"/>
      <c r="F566" s="61"/>
      <c r="G566" s="26"/>
    </row>
    <row r="567" spans="1:7" ht="13.5" customHeight="1">
      <c r="A567" s="26"/>
      <c r="B567" s="60"/>
      <c r="C567" s="26"/>
      <c r="D567" s="26"/>
      <c r="E567" s="26"/>
      <c r="F567" s="61"/>
      <c r="G567" s="26"/>
    </row>
    <row r="568" spans="1:7" ht="13.5" customHeight="1">
      <c r="A568" s="26"/>
      <c r="B568" s="60"/>
      <c r="C568" s="26"/>
      <c r="D568" s="26"/>
      <c r="E568" s="26"/>
      <c r="F568" s="61"/>
      <c r="G568" s="26"/>
    </row>
    <row r="569" spans="1:7" ht="13.5" customHeight="1">
      <c r="A569" s="26"/>
      <c r="B569" s="60"/>
      <c r="C569" s="26"/>
      <c r="D569" s="26"/>
      <c r="E569" s="26"/>
      <c r="F569" s="61"/>
      <c r="G569" s="26"/>
    </row>
    <row r="570" spans="1:7" ht="13.5" customHeight="1">
      <c r="A570" s="26"/>
      <c r="B570" s="60"/>
      <c r="C570" s="26"/>
      <c r="D570" s="26"/>
      <c r="E570" s="26"/>
      <c r="F570" s="61"/>
      <c r="G570" s="26"/>
    </row>
    <row r="571" spans="1:7" ht="13.5" customHeight="1">
      <c r="A571" s="26"/>
      <c r="B571" s="60"/>
      <c r="C571" s="26"/>
      <c r="D571" s="26"/>
      <c r="E571" s="26"/>
      <c r="F571" s="61"/>
      <c r="G571" s="26"/>
    </row>
    <row r="572" spans="1:7" ht="13.5" customHeight="1">
      <c r="A572" s="26"/>
      <c r="B572" s="60"/>
      <c r="C572" s="26"/>
      <c r="D572" s="26"/>
      <c r="E572" s="26"/>
      <c r="F572" s="61"/>
      <c r="G572" s="26"/>
    </row>
    <row r="573" spans="1:7" ht="13.5" customHeight="1">
      <c r="A573" s="26"/>
      <c r="B573" s="60"/>
      <c r="C573" s="26"/>
      <c r="D573" s="26"/>
      <c r="E573" s="26"/>
      <c r="F573" s="61"/>
      <c r="G573" s="26"/>
    </row>
    <row r="574" spans="1:7" ht="13.5" customHeight="1">
      <c r="A574" s="26"/>
      <c r="B574" s="60"/>
      <c r="C574" s="26"/>
      <c r="D574" s="26"/>
      <c r="E574" s="26"/>
      <c r="F574" s="61"/>
      <c r="G574" s="26"/>
    </row>
    <row r="575" spans="1:7" ht="13.5" customHeight="1">
      <c r="A575" s="26"/>
      <c r="B575" s="60"/>
      <c r="C575" s="26"/>
      <c r="D575" s="26"/>
      <c r="E575" s="26"/>
      <c r="F575" s="61"/>
      <c r="G575" s="26"/>
    </row>
    <row r="576" spans="1:7" ht="13.5" customHeight="1">
      <c r="A576" s="26"/>
      <c r="B576" s="60"/>
      <c r="C576" s="26"/>
      <c r="D576" s="26"/>
      <c r="E576" s="26"/>
      <c r="F576" s="61"/>
      <c r="G576" s="26"/>
    </row>
    <row r="577" spans="1:7" ht="13.5" customHeight="1">
      <c r="A577" s="26"/>
      <c r="B577" s="60"/>
      <c r="C577" s="26"/>
      <c r="D577" s="26"/>
      <c r="E577" s="26"/>
      <c r="F577" s="61"/>
      <c r="G577" s="26"/>
    </row>
    <row r="578" spans="1:7" ht="13.5" customHeight="1">
      <c r="A578" s="26"/>
      <c r="B578" s="60"/>
      <c r="C578" s="26"/>
      <c r="D578" s="26"/>
      <c r="E578" s="26"/>
      <c r="F578" s="61"/>
      <c r="G578" s="26"/>
    </row>
    <row r="579" spans="1:7" ht="13.5" customHeight="1">
      <c r="A579" s="26"/>
      <c r="B579" s="60"/>
      <c r="C579" s="26"/>
      <c r="D579" s="26"/>
      <c r="E579" s="26"/>
      <c r="F579" s="61"/>
      <c r="G579" s="26"/>
    </row>
    <row r="580" spans="1:7" ht="13.5" customHeight="1">
      <c r="A580" s="26"/>
      <c r="B580" s="60"/>
      <c r="C580" s="26"/>
      <c r="D580" s="26"/>
      <c r="E580" s="26"/>
      <c r="F580" s="61"/>
      <c r="G580" s="26"/>
    </row>
    <row r="581" spans="1:7" ht="13.5" customHeight="1">
      <c r="A581" s="26"/>
      <c r="B581" s="60"/>
      <c r="C581" s="26"/>
      <c r="D581" s="26"/>
      <c r="E581" s="26"/>
      <c r="F581" s="61"/>
      <c r="G581" s="26"/>
    </row>
    <row r="582" spans="1:7" ht="13.5" customHeight="1">
      <c r="A582" s="26"/>
      <c r="B582" s="60"/>
      <c r="C582" s="26"/>
      <c r="D582" s="26"/>
      <c r="E582" s="26"/>
      <c r="F582" s="61"/>
      <c r="G582" s="26"/>
    </row>
    <row r="583" spans="1:7" ht="13.5" customHeight="1">
      <c r="A583" s="26"/>
      <c r="B583" s="60"/>
      <c r="C583" s="26"/>
      <c r="D583" s="26"/>
      <c r="E583" s="26"/>
      <c r="F583" s="61"/>
      <c r="G583" s="26"/>
    </row>
    <row r="584" spans="1:7" ht="13.5" customHeight="1">
      <c r="A584" s="26"/>
      <c r="B584" s="60"/>
      <c r="C584" s="26"/>
      <c r="D584" s="26"/>
      <c r="E584" s="26"/>
      <c r="F584" s="61"/>
      <c r="G584" s="26"/>
    </row>
    <row r="585" spans="1:7" ht="13.5" customHeight="1">
      <c r="A585" s="26"/>
      <c r="B585" s="60"/>
      <c r="C585" s="26"/>
      <c r="D585" s="26"/>
      <c r="E585" s="26"/>
      <c r="F585" s="61"/>
      <c r="G585" s="26"/>
    </row>
    <row r="586" spans="1:7" ht="13.5" customHeight="1">
      <c r="A586" s="26"/>
      <c r="B586" s="60"/>
      <c r="C586" s="26"/>
      <c r="D586" s="26"/>
      <c r="E586" s="26"/>
      <c r="F586" s="61"/>
      <c r="G586" s="26"/>
    </row>
    <row r="587" spans="1:7" ht="13.5" customHeight="1">
      <c r="A587" s="26"/>
      <c r="B587" s="60"/>
      <c r="C587" s="26"/>
      <c r="D587" s="26"/>
      <c r="E587" s="26"/>
      <c r="F587" s="61"/>
      <c r="G587" s="26"/>
    </row>
    <row r="588" spans="1:7" ht="13.5" customHeight="1">
      <c r="A588" s="26"/>
      <c r="B588" s="60"/>
      <c r="C588" s="26"/>
      <c r="D588" s="26"/>
      <c r="E588" s="26"/>
      <c r="F588" s="61"/>
      <c r="G588" s="26"/>
    </row>
    <row r="589" spans="1:7" ht="13.5" customHeight="1">
      <c r="A589" s="26"/>
      <c r="B589" s="60"/>
      <c r="C589" s="26"/>
      <c r="D589" s="26"/>
      <c r="E589" s="26"/>
      <c r="F589" s="61"/>
      <c r="G589" s="26"/>
    </row>
    <row r="590" spans="1:7" ht="13.5" customHeight="1">
      <c r="A590" s="26"/>
      <c r="B590" s="60"/>
      <c r="C590" s="26"/>
      <c r="D590" s="26"/>
      <c r="E590" s="26"/>
      <c r="F590" s="61"/>
      <c r="G590" s="26"/>
    </row>
    <row r="591" spans="1:7" ht="13.5" customHeight="1">
      <c r="A591" s="26"/>
      <c r="B591" s="60"/>
      <c r="C591" s="26"/>
      <c r="D591" s="26"/>
      <c r="E591" s="26"/>
      <c r="F591" s="61"/>
      <c r="G591" s="26"/>
    </row>
    <row r="592" spans="1:7" ht="13.5" customHeight="1">
      <c r="A592" s="26"/>
      <c r="B592" s="60"/>
      <c r="C592" s="26"/>
      <c r="D592" s="26"/>
      <c r="E592" s="26"/>
      <c r="F592" s="61"/>
      <c r="G592" s="26"/>
    </row>
    <row r="593" spans="1:7" ht="13.5" customHeight="1">
      <c r="A593" s="26"/>
      <c r="B593" s="60"/>
      <c r="C593" s="26"/>
      <c r="D593" s="26"/>
      <c r="E593" s="26"/>
      <c r="F593" s="61"/>
      <c r="G593" s="26"/>
    </row>
    <row r="594" spans="1:7" ht="13.5" customHeight="1">
      <c r="A594" s="26"/>
      <c r="B594" s="60"/>
      <c r="C594" s="26"/>
      <c r="D594" s="26"/>
      <c r="E594" s="26"/>
      <c r="F594" s="61"/>
      <c r="G594" s="26"/>
    </row>
    <row r="595" spans="1:7" ht="13.5" customHeight="1">
      <c r="A595" s="26"/>
      <c r="B595" s="60"/>
      <c r="C595" s="26"/>
      <c r="D595" s="26"/>
      <c r="E595" s="26"/>
      <c r="F595" s="61"/>
      <c r="G595" s="26"/>
    </row>
    <row r="596" spans="1:7" ht="13.5" customHeight="1">
      <c r="A596" s="26"/>
      <c r="B596" s="60"/>
      <c r="C596" s="26"/>
      <c r="D596" s="26"/>
      <c r="E596" s="26"/>
      <c r="F596" s="61"/>
      <c r="G596" s="26"/>
    </row>
    <row r="597" spans="1:7" ht="13.5" customHeight="1">
      <c r="A597" s="26"/>
      <c r="B597" s="60"/>
      <c r="C597" s="26"/>
      <c r="D597" s="26"/>
      <c r="E597" s="26"/>
      <c r="F597" s="61"/>
      <c r="G597" s="26"/>
    </row>
    <row r="598" spans="1:7" ht="13.5" customHeight="1">
      <c r="A598" s="26"/>
      <c r="B598" s="60"/>
      <c r="C598" s="26"/>
      <c r="D598" s="26"/>
      <c r="E598" s="26"/>
      <c r="F598" s="61"/>
      <c r="G598" s="26"/>
    </row>
    <row r="599" spans="1:7" ht="13.5" customHeight="1">
      <c r="A599" s="26"/>
      <c r="B599" s="60"/>
      <c r="C599" s="26"/>
      <c r="D599" s="26"/>
      <c r="E599" s="26"/>
      <c r="F599" s="61"/>
      <c r="G599" s="26"/>
    </row>
    <row r="600" spans="1:7" ht="13.5" customHeight="1">
      <c r="A600" s="26"/>
      <c r="B600" s="60"/>
      <c r="C600" s="26"/>
      <c r="D600" s="26"/>
      <c r="E600" s="26"/>
      <c r="F600" s="61"/>
      <c r="G600" s="26"/>
    </row>
    <row r="601" spans="1:7" ht="13.5" customHeight="1">
      <c r="A601" s="26"/>
      <c r="B601" s="60"/>
      <c r="C601" s="26"/>
      <c r="D601" s="26"/>
      <c r="E601" s="26"/>
      <c r="F601" s="61"/>
      <c r="G601" s="26"/>
    </row>
    <row r="602" spans="1:7" ht="13.5" customHeight="1">
      <c r="A602" s="26"/>
      <c r="B602" s="60"/>
      <c r="C602" s="26"/>
      <c r="D602" s="26"/>
      <c r="E602" s="26"/>
      <c r="F602" s="61"/>
      <c r="G602" s="26"/>
    </row>
    <row r="603" spans="1:7" ht="13.5" customHeight="1">
      <c r="A603" s="26"/>
      <c r="B603" s="60"/>
      <c r="C603" s="26"/>
      <c r="D603" s="26"/>
      <c r="E603" s="26"/>
      <c r="F603" s="61"/>
      <c r="G603" s="26"/>
    </row>
    <row r="604" spans="1:7" ht="13.5" customHeight="1">
      <c r="A604" s="26"/>
      <c r="B604" s="60"/>
      <c r="C604" s="26"/>
      <c r="D604" s="26"/>
      <c r="E604" s="26"/>
      <c r="F604" s="61"/>
      <c r="G604" s="26"/>
    </row>
    <row r="605" spans="1:7" ht="13.5" customHeight="1">
      <c r="A605" s="26"/>
      <c r="B605" s="60"/>
      <c r="C605" s="26"/>
      <c r="D605" s="26"/>
      <c r="E605" s="26"/>
      <c r="F605" s="61"/>
      <c r="G605" s="26"/>
    </row>
    <row r="606" spans="1:7" ht="13.5" customHeight="1">
      <c r="A606" s="26"/>
      <c r="B606" s="60"/>
      <c r="C606" s="26"/>
      <c r="D606" s="26"/>
      <c r="E606" s="26"/>
      <c r="F606" s="61"/>
      <c r="G606" s="26"/>
    </row>
    <row r="607" spans="1:7" ht="13.5" customHeight="1">
      <c r="A607" s="26"/>
      <c r="B607" s="60"/>
      <c r="C607" s="26"/>
      <c r="D607" s="26"/>
      <c r="E607" s="26"/>
      <c r="F607" s="61"/>
      <c r="G607" s="26"/>
    </row>
    <row r="608" spans="1:7" ht="13.5" customHeight="1">
      <c r="A608" s="26"/>
      <c r="B608" s="60"/>
      <c r="C608" s="26"/>
      <c r="D608" s="26"/>
      <c r="E608" s="26"/>
      <c r="F608" s="61"/>
      <c r="G608" s="26"/>
    </row>
    <row r="609" spans="1:7" ht="13.5" customHeight="1">
      <c r="A609" s="26"/>
      <c r="B609" s="60"/>
      <c r="C609" s="26"/>
      <c r="D609" s="26"/>
      <c r="E609" s="26"/>
      <c r="F609" s="61"/>
      <c r="G609" s="26"/>
    </row>
    <row r="610" spans="1:7" ht="13.5" customHeight="1">
      <c r="A610" s="26"/>
      <c r="B610" s="60"/>
      <c r="C610" s="26"/>
      <c r="D610" s="26"/>
      <c r="E610" s="26"/>
      <c r="F610" s="61"/>
      <c r="G610" s="26"/>
    </row>
    <row r="611" spans="1:7" ht="13.5" customHeight="1">
      <c r="A611" s="26"/>
      <c r="B611" s="60"/>
      <c r="C611" s="26"/>
      <c r="D611" s="26"/>
      <c r="E611" s="26"/>
      <c r="F611" s="61"/>
      <c r="G611" s="26"/>
    </row>
    <row r="612" spans="1:7" ht="13.5" customHeight="1">
      <c r="A612" s="26"/>
      <c r="B612" s="60"/>
      <c r="C612" s="26"/>
      <c r="D612" s="26"/>
      <c r="E612" s="26"/>
      <c r="F612" s="61"/>
      <c r="G612" s="26"/>
    </row>
    <row r="613" spans="1:7" ht="13.5" customHeight="1">
      <c r="A613" s="26"/>
      <c r="B613" s="60"/>
      <c r="C613" s="26"/>
      <c r="D613" s="26"/>
      <c r="E613" s="26"/>
      <c r="F613" s="61"/>
      <c r="G613" s="26"/>
    </row>
    <row r="614" spans="1:7" ht="13.5" customHeight="1">
      <c r="A614" s="26"/>
      <c r="B614" s="60"/>
      <c r="C614" s="26"/>
      <c r="D614" s="26"/>
      <c r="E614" s="26"/>
      <c r="F614" s="61"/>
      <c r="G614" s="26"/>
    </row>
    <row r="615" spans="1:7" ht="13.5" customHeight="1">
      <c r="A615" s="26"/>
      <c r="B615" s="60"/>
      <c r="C615" s="26"/>
      <c r="D615" s="26"/>
      <c r="E615" s="26"/>
      <c r="F615" s="61"/>
      <c r="G615" s="26"/>
    </row>
    <row r="616" spans="1:7" ht="13.5" customHeight="1">
      <c r="A616" s="26"/>
      <c r="B616" s="60"/>
      <c r="C616" s="26"/>
      <c r="D616" s="26"/>
      <c r="E616" s="26"/>
      <c r="F616" s="61"/>
      <c r="G616" s="26"/>
    </row>
    <row r="617" spans="1:7" ht="13.5" customHeight="1">
      <c r="A617" s="26"/>
      <c r="B617" s="60"/>
      <c r="C617" s="26"/>
      <c r="D617" s="26"/>
      <c r="E617" s="26"/>
      <c r="F617" s="61"/>
      <c r="G617" s="26"/>
    </row>
    <row r="618" spans="1:7" ht="13.5" customHeight="1">
      <c r="A618" s="26"/>
      <c r="B618" s="60"/>
      <c r="C618" s="26"/>
      <c r="D618" s="26"/>
      <c r="E618" s="26"/>
      <c r="F618" s="61"/>
      <c r="G618" s="26"/>
    </row>
    <row r="619" spans="1:7" ht="13.5" customHeight="1">
      <c r="A619" s="26"/>
      <c r="B619" s="60"/>
      <c r="C619" s="26"/>
      <c r="D619" s="26"/>
      <c r="E619" s="26"/>
      <c r="F619" s="61"/>
      <c r="G619" s="26"/>
    </row>
    <row r="620" spans="1:7" ht="13.5" customHeight="1">
      <c r="A620" s="26"/>
      <c r="B620" s="60"/>
      <c r="C620" s="26"/>
      <c r="D620" s="26"/>
      <c r="E620" s="26"/>
      <c r="F620" s="61"/>
      <c r="G620" s="26"/>
    </row>
    <row r="621" spans="1:7" ht="13.5" customHeight="1">
      <c r="A621" s="26"/>
      <c r="B621" s="60"/>
      <c r="C621" s="26"/>
      <c r="D621" s="26"/>
      <c r="E621" s="26"/>
      <c r="F621" s="61"/>
      <c r="G621" s="26"/>
    </row>
    <row r="622" spans="1:7" ht="13.5" customHeight="1">
      <c r="A622" s="26"/>
      <c r="B622" s="60"/>
      <c r="C622" s="26"/>
      <c r="D622" s="26"/>
      <c r="E622" s="26"/>
      <c r="F622" s="61"/>
      <c r="G622" s="26"/>
    </row>
    <row r="623" spans="1:7" ht="13.5" customHeight="1">
      <c r="A623" s="26"/>
      <c r="B623" s="60"/>
      <c r="C623" s="26"/>
      <c r="D623" s="26"/>
      <c r="E623" s="26"/>
      <c r="F623" s="61"/>
      <c r="G623" s="26"/>
    </row>
    <row r="624" spans="1:7" ht="13.5" customHeight="1">
      <c r="A624" s="26"/>
      <c r="B624" s="60"/>
      <c r="C624" s="26"/>
      <c r="D624" s="26"/>
      <c r="E624" s="26"/>
      <c r="F624" s="61"/>
      <c r="G624" s="26"/>
    </row>
    <row r="625" spans="1:7" ht="13.5" customHeight="1">
      <c r="A625" s="26"/>
      <c r="B625" s="60"/>
      <c r="C625" s="26"/>
      <c r="D625" s="26"/>
      <c r="E625" s="26"/>
      <c r="F625" s="61"/>
      <c r="G625" s="26"/>
    </row>
    <row r="626" spans="1:7" ht="13.5" customHeight="1">
      <c r="A626" s="26"/>
      <c r="B626" s="60"/>
      <c r="C626" s="26"/>
      <c r="D626" s="26"/>
      <c r="E626" s="26"/>
      <c r="F626" s="61"/>
      <c r="G626" s="26"/>
    </row>
    <row r="627" spans="1:7" ht="13.5" customHeight="1">
      <c r="A627" s="26"/>
      <c r="B627" s="60"/>
      <c r="C627" s="26"/>
      <c r="D627" s="26"/>
      <c r="E627" s="26"/>
      <c r="F627" s="61"/>
      <c r="G627" s="26"/>
    </row>
    <row r="628" spans="1:7" ht="13.5" customHeight="1">
      <c r="A628" s="26"/>
      <c r="B628" s="60"/>
      <c r="C628" s="26"/>
      <c r="D628" s="26"/>
      <c r="E628" s="26"/>
      <c r="F628" s="61"/>
      <c r="G628" s="26"/>
    </row>
    <row r="629" spans="1:7" ht="13.5" customHeight="1">
      <c r="A629" s="26"/>
      <c r="B629" s="60"/>
      <c r="C629" s="26"/>
      <c r="D629" s="26"/>
      <c r="E629" s="26"/>
      <c r="F629" s="61"/>
      <c r="G629" s="26"/>
    </row>
    <row r="630" spans="1:7" ht="13.5" customHeight="1">
      <c r="A630" s="26"/>
      <c r="B630" s="60"/>
      <c r="C630" s="26"/>
      <c r="D630" s="26"/>
      <c r="E630" s="26"/>
      <c r="F630" s="61"/>
      <c r="G630" s="26"/>
    </row>
    <row r="631" spans="1:7" ht="13.5" customHeight="1">
      <c r="A631" s="26"/>
      <c r="B631" s="60"/>
      <c r="C631" s="26"/>
      <c r="D631" s="26"/>
      <c r="E631" s="26"/>
      <c r="F631" s="61"/>
      <c r="G631" s="26"/>
    </row>
    <row r="632" spans="1:7" ht="13.5" customHeight="1">
      <c r="A632" s="26"/>
      <c r="B632" s="60"/>
      <c r="C632" s="26"/>
      <c r="D632" s="26"/>
      <c r="E632" s="26"/>
      <c r="F632" s="61"/>
      <c r="G632" s="26"/>
    </row>
    <row r="633" spans="1:7" ht="13.5" customHeight="1">
      <c r="A633" s="26"/>
      <c r="B633" s="60"/>
      <c r="C633" s="26"/>
      <c r="D633" s="26"/>
      <c r="E633" s="26"/>
      <c r="F633" s="61"/>
      <c r="G633" s="26"/>
    </row>
    <row r="634" spans="1:7" ht="13.5" customHeight="1">
      <c r="A634" s="26"/>
      <c r="B634" s="60"/>
      <c r="C634" s="26"/>
      <c r="D634" s="26"/>
      <c r="E634" s="26"/>
      <c r="F634" s="61"/>
      <c r="G634" s="26"/>
    </row>
    <row r="635" spans="1:7" ht="13.5" customHeight="1">
      <c r="A635" s="26"/>
      <c r="B635" s="60"/>
      <c r="C635" s="26"/>
      <c r="D635" s="26"/>
      <c r="E635" s="26"/>
      <c r="F635" s="61"/>
      <c r="G635" s="26"/>
    </row>
    <row r="636" spans="1:7" ht="13.5" customHeight="1">
      <c r="A636" s="26"/>
      <c r="B636" s="60"/>
      <c r="C636" s="26"/>
      <c r="D636" s="26"/>
      <c r="E636" s="26"/>
      <c r="F636" s="61"/>
      <c r="G636" s="26"/>
    </row>
    <row r="637" spans="1:7" ht="13.5" customHeight="1">
      <c r="A637" s="26"/>
      <c r="B637" s="60"/>
      <c r="C637" s="26"/>
      <c r="D637" s="26"/>
      <c r="E637" s="26"/>
      <c r="F637" s="61"/>
      <c r="G637" s="26"/>
    </row>
    <row r="638" spans="1:7" ht="13.5" customHeight="1">
      <c r="A638" s="26"/>
      <c r="B638" s="60"/>
      <c r="C638" s="26"/>
      <c r="D638" s="26"/>
      <c r="E638" s="26"/>
      <c r="F638" s="61"/>
      <c r="G638" s="26"/>
    </row>
    <row r="639" spans="1:7" ht="13.5" customHeight="1">
      <c r="A639" s="26"/>
      <c r="B639" s="60"/>
      <c r="C639" s="26"/>
      <c r="D639" s="26"/>
      <c r="E639" s="26"/>
      <c r="F639" s="61"/>
      <c r="G639" s="26"/>
    </row>
    <row r="640" spans="1:7" ht="13.5" customHeight="1">
      <c r="A640" s="26"/>
      <c r="B640" s="60"/>
      <c r="C640" s="26"/>
      <c r="D640" s="26"/>
      <c r="E640" s="26"/>
      <c r="F640" s="61"/>
      <c r="G640" s="26"/>
    </row>
    <row r="641" spans="1:7" ht="13.5" customHeight="1">
      <c r="A641" s="26"/>
      <c r="B641" s="60"/>
      <c r="C641" s="26"/>
      <c r="D641" s="26"/>
      <c r="E641" s="26"/>
      <c r="F641" s="61"/>
      <c r="G641" s="26"/>
    </row>
    <row r="642" spans="1:7" ht="13.5" customHeight="1">
      <c r="A642" s="26"/>
      <c r="B642" s="60"/>
      <c r="C642" s="26"/>
      <c r="D642" s="26"/>
      <c r="E642" s="26"/>
      <c r="F642" s="61"/>
      <c r="G642" s="26"/>
    </row>
    <row r="643" spans="1:7" ht="13.5" customHeight="1">
      <c r="A643" s="26"/>
      <c r="B643" s="60"/>
      <c r="C643" s="26"/>
      <c r="D643" s="26"/>
      <c r="E643" s="26"/>
      <c r="F643" s="61"/>
      <c r="G643" s="26"/>
    </row>
    <row r="644" spans="1:7" ht="13.5" customHeight="1">
      <c r="A644" s="26"/>
      <c r="B644" s="60"/>
      <c r="C644" s="26"/>
      <c r="D644" s="26"/>
      <c r="E644" s="26"/>
      <c r="F644" s="61"/>
      <c r="G644" s="26"/>
    </row>
    <row r="645" spans="1:7" ht="13.5" customHeight="1">
      <c r="A645" s="26"/>
      <c r="B645" s="60"/>
      <c r="C645" s="26"/>
      <c r="D645" s="26"/>
      <c r="E645" s="26"/>
      <c r="F645" s="61"/>
      <c r="G645" s="26"/>
    </row>
    <row r="646" spans="1:7" ht="13.5" customHeight="1">
      <c r="A646" s="26"/>
      <c r="B646" s="60"/>
      <c r="C646" s="26"/>
      <c r="D646" s="26"/>
      <c r="E646" s="26"/>
      <c r="F646" s="61"/>
      <c r="G646" s="26"/>
    </row>
    <row r="647" spans="1:7" ht="13.5" customHeight="1">
      <c r="A647" s="26"/>
      <c r="B647" s="60"/>
      <c r="C647" s="26"/>
      <c r="D647" s="26"/>
      <c r="E647" s="26"/>
      <c r="F647" s="61"/>
      <c r="G647" s="26"/>
    </row>
    <row r="648" spans="1:7" ht="13.5" customHeight="1">
      <c r="A648" s="26"/>
      <c r="B648" s="60"/>
      <c r="C648" s="26"/>
      <c r="D648" s="26"/>
      <c r="E648" s="26"/>
      <c r="F648" s="61"/>
      <c r="G648" s="26"/>
    </row>
    <row r="649" spans="1:7" ht="13.5" customHeight="1">
      <c r="A649" s="26"/>
      <c r="B649" s="60"/>
      <c r="C649" s="26"/>
      <c r="D649" s="26"/>
      <c r="E649" s="26"/>
      <c r="F649" s="61"/>
      <c r="G649" s="26"/>
    </row>
    <row r="650" spans="1:7" ht="13.5" customHeight="1">
      <c r="A650" s="26"/>
      <c r="B650" s="60"/>
      <c r="C650" s="26"/>
      <c r="D650" s="26"/>
      <c r="E650" s="26"/>
      <c r="F650" s="61"/>
      <c r="G650" s="26"/>
    </row>
    <row r="651" spans="1:7" ht="13.5" customHeight="1">
      <c r="A651" s="26"/>
      <c r="B651" s="60"/>
      <c r="C651" s="26"/>
      <c r="D651" s="26"/>
      <c r="E651" s="26"/>
      <c r="F651" s="61"/>
      <c r="G651" s="26"/>
    </row>
    <row r="652" spans="1:7" ht="13.5" customHeight="1">
      <c r="A652" s="26"/>
      <c r="B652" s="60"/>
      <c r="C652" s="26"/>
      <c r="D652" s="26"/>
      <c r="E652" s="26"/>
      <c r="F652" s="61"/>
      <c r="G652" s="26"/>
    </row>
    <row r="653" spans="1:7" ht="13.5" customHeight="1">
      <c r="A653" s="26"/>
      <c r="B653" s="60"/>
      <c r="C653" s="26"/>
      <c r="D653" s="26"/>
      <c r="E653" s="26"/>
      <c r="F653" s="61"/>
      <c r="G653" s="26"/>
    </row>
    <row r="654" spans="1:7" ht="13.5" customHeight="1">
      <c r="A654" s="26"/>
      <c r="B654" s="60"/>
      <c r="C654" s="26"/>
      <c r="D654" s="26"/>
      <c r="E654" s="26"/>
      <c r="F654" s="61"/>
      <c r="G654" s="26"/>
    </row>
    <row r="655" spans="1:7" ht="13.5" customHeight="1">
      <c r="A655" s="26"/>
      <c r="B655" s="60"/>
      <c r="C655" s="26"/>
      <c r="D655" s="26"/>
      <c r="E655" s="26"/>
      <c r="F655" s="61"/>
      <c r="G655" s="26"/>
    </row>
    <row r="656" spans="1:7" ht="13.5" customHeight="1">
      <c r="A656" s="26"/>
      <c r="B656" s="60"/>
      <c r="C656" s="26"/>
      <c r="D656" s="26"/>
      <c r="E656" s="26"/>
      <c r="F656" s="61"/>
      <c r="G656" s="26"/>
    </row>
    <row r="657" spans="1:7" ht="13.5" customHeight="1">
      <c r="A657" s="26"/>
      <c r="B657" s="60"/>
      <c r="C657" s="26"/>
      <c r="D657" s="26"/>
      <c r="E657" s="26"/>
      <c r="F657" s="61"/>
      <c r="G657" s="26"/>
    </row>
    <row r="658" spans="1:7" ht="13.5" customHeight="1">
      <c r="A658" s="26"/>
      <c r="B658" s="60"/>
      <c r="C658" s="26"/>
      <c r="D658" s="26"/>
      <c r="E658" s="26"/>
      <c r="F658" s="61"/>
      <c r="G658" s="26"/>
    </row>
    <row r="659" spans="1:7" ht="13.5" customHeight="1">
      <c r="A659" s="26"/>
      <c r="B659" s="60"/>
      <c r="C659" s="26"/>
      <c r="D659" s="26"/>
      <c r="E659" s="26"/>
      <c r="F659" s="61"/>
      <c r="G659" s="26"/>
    </row>
    <row r="660" spans="1:7" ht="13.5" customHeight="1">
      <c r="A660" s="26"/>
      <c r="B660" s="60"/>
      <c r="C660" s="26"/>
      <c r="D660" s="26"/>
      <c r="E660" s="26"/>
      <c r="F660" s="61"/>
      <c r="G660" s="26"/>
    </row>
    <row r="661" spans="1:7" ht="13.5" customHeight="1">
      <c r="A661" s="26"/>
      <c r="B661" s="60"/>
      <c r="C661" s="26"/>
      <c r="D661" s="26"/>
      <c r="E661" s="26"/>
      <c r="F661" s="61"/>
      <c r="G661" s="26"/>
    </row>
    <row r="662" spans="1:7" ht="13.5" customHeight="1">
      <c r="A662" s="26"/>
      <c r="B662" s="60"/>
      <c r="C662" s="26"/>
      <c r="D662" s="26"/>
      <c r="E662" s="26"/>
      <c r="F662" s="61"/>
      <c r="G662" s="26"/>
    </row>
    <row r="663" spans="1:7" ht="13.5" customHeight="1">
      <c r="A663" s="26"/>
      <c r="B663" s="60"/>
      <c r="C663" s="26"/>
      <c r="D663" s="26"/>
      <c r="E663" s="26"/>
      <c r="F663" s="61"/>
      <c r="G663" s="26"/>
    </row>
    <row r="664" spans="1:7" ht="13.5" customHeight="1">
      <c r="A664" s="26"/>
      <c r="B664" s="60"/>
      <c r="C664" s="26"/>
      <c r="D664" s="26"/>
      <c r="E664" s="26"/>
      <c r="F664" s="61"/>
      <c r="G664" s="26"/>
    </row>
    <row r="665" spans="1:7" ht="13.5" customHeight="1">
      <c r="A665" s="26"/>
      <c r="B665" s="60"/>
      <c r="C665" s="26"/>
      <c r="D665" s="26"/>
      <c r="E665" s="26"/>
      <c r="F665" s="61"/>
      <c r="G665" s="26"/>
    </row>
    <row r="666" spans="1:7" ht="13.5" customHeight="1">
      <c r="A666" s="26"/>
      <c r="B666" s="60"/>
      <c r="C666" s="26"/>
      <c r="D666" s="26"/>
      <c r="E666" s="26"/>
      <c r="F666" s="61"/>
      <c r="G666" s="26"/>
    </row>
    <row r="667" spans="1:7" ht="13.5" customHeight="1">
      <c r="A667" s="26"/>
      <c r="B667" s="60"/>
      <c r="C667" s="26"/>
      <c r="D667" s="26"/>
      <c r="E667" s="26"/>
      <c r="F667" s="61"/>
      <c r="G667" s="26"/>
    </row>
    <row r="668" spans="1:7" ht="13.5" customHeight="1">
      <c r="A668" s="26"/>
      <c r="B668" s="60"/>
      <c r="C668" s="26"/>
      <c r="D668" s="26"/>
      <c r="E668" s="26"/>
      <c r="F668" s="61"/>
      <c r="G668" s="26"/>
    </row>
    <row r="669" spans="1:7" ht="13.5" customHeight="1">
      <c r="A669" s="26"/>
      <c r="B669" s="60"/>
      <c r="C669" s="26"/>
      <c r="D669" s="26"/>
      <c r="E669" s="26"/>
      <c r="F669" s="61"/>
      <c r="G669" s="26"/>
    </row>
    <row r="670" spans="1:7" ht="13.5" customHeight="1">
      <c r="A670" s="26"/>
      <c r="B670" s="60"/>
      <c r="C670" s="26"/>
      <c r="D670" s="26"/>
      <c r="E670" s="26"/>
      <c r="F670" s="61"/>
      <c r="G670" s="26"/>
    </row>
    <row r="671" spans="1:7" ht="13.5" customHeight="1">
      <c r="A671" s="26"/>
      <c r="B671" s="60"/>
      <c r="C671" s="26"/>
      <c r="D671" s="26"/>
      <c r="E671" s="26"/>
      <c r="F671" s="61"/>
      <c r="G671" s="26"/>
    </row>
    <row r="672" spans="1:7" ht="13.5" customHeight="1">
      <c r="A672" s="26"/>
      <c r="B672" s="60"/>
      <c r="C672" s="26"/>
      <c r="D672" s="26"/>
      <c r="E672" s="26"/>
      <c r="F672" s="61"/>
      <c r="G672" s="26"/>
    </row>
    <row r="673" spans="1:7" ht="13.5" customHeight="1">
      <c r="A673" s="26"/>
      <c r="B673" s="60"/>
      <c r="C673" s="26"/>
      <c r="D673" s="26"/>
      <c r="E673" s="26"/>
      <c r="F673" s="61"/>
      <c r="G673" s="26"/>
    </row>
    <row r="674" spans="1:7" ht="13.5" customHeight="1">
      <c r="A674" s="26"/>
      <c r="B674" s="60"/>
      <c r="C674" s="26"/>
      <c r="D674" s="26"/>
      <c r="E674" s="26"/>
      <c r="F674" s="61"/>
      <c r="G674" s="26"/>
    </row>
    <row r="675" spans="1:7" ht="13.5" customHeight="1">
      <c r="A675" s="26"/>
      <c r="B675" s="60"/>
      <c r="C675" s="26"/>
      <c r="D675" s="26"/>
      <c r="E675" s="26"/>
      <c r="F675" s="61"/>
      <c r="G675" s="26"/>
    </row>
    <row r="676" spans="1:7" ht="13.5" customHeight="1">
      <c r="A676" s="26"/>
      <c r="B676" s="60"/>
      <c r="C676" s="26"/>
      <c r="D676" s="26"/>
      <c r="E676" s="26"/>
      <c r="F676" s="61"/>
      <c r="G676" s="26"/>
    </row>
    <row r="677" spans="1:7" ht="13.5" customHeight="1">
      <c r="A677" s="26"/>
      <c r="B677" s="60"/>
      <c r="C677" s="26"/>
      <c r="D677" s="26"/>
      <c r="E677" s="26"/>
      <c r="F677" s="61"/>
      <c r="G677" s="26"/>
    </row>
    <row r="678" spans="1:7" ht="13.5" customHeight="1">
      <c r="A678" s="26"/>
      <c r="B678" s="60"/>
      <c r="C678" s="26"/>
      <c r="D678" s="26"/>
      <c r="E678" s="26"/>
      <c r="F678" s="61"/>
      <c r="G678" s="26"/>
    </row>
    <row r="679" spans="1:7" ht="13.5" customHeight="1">
      <c r="A679" s="26"/>
      <c r="B679" s="60"/>
      <c r="C679" s="26"/>
      <c r="D679" s="26"/>
      <c r="E679" s="26"/>
      <c r="F679" s="61"/>
      <c r="G679" s="26"/>
    </row>
    <row r="680" spans="1:7" ht="13.5" customHeight="1">
      <c r="A680" s="26"/>
      <c r="B680" s="60"/>
      <c r="C680" s="26"/>
      <c r="D680" s="26"/>
      <c r="E680" s="26"/>
      <c r="F680" s="61"/>
      <c r="G680" s="26"/>
    </row>
    <row r="681" spans="1:7" ht="13.5" customHeight="1">
      <c r="A681" s="26"/>
      <c r="B681" s="60"/>
      <c r="C681" s="26"/>
      <c r="D681" s="26"/>
      <c r="E681" s="26"/>
      <c r="F681" s="61"/>
      <c r="G681" s="26"/>
    </row>
    <row r="682" spans="1:7" ht="13.5" customHeight="1">
      <c r="A682" s="26"/>
      <c r="B682" s="60"/>
      <c r="C682" s="26"/>
      <c r="D682" s="26"/>
      <c r="E682" s="26"/>
      <c r="F682" s="61"/>
      <c r="G682" s="26"/>
    </row>
    <row r="683" spans="1:7" ht="13.5" customHeight="1">
      <c r="A683" s="26"/>
      <c r="B683" s="60"/>
      <c r="C683" s="26"/>
      <c r="D683" s="26"/>
      <c r="E683" s="26"/>
      <c r="F683" s="61"/>
      <c r="G683" s="26"/>
    </row>
    <row r="684" spans="1:7" ht="13.5" customHeight="1">
      <c r="A684" s="26"/>
      <c r="B684" s="60"/>
      <c r="C684" s="26"/>
      <c r="D684" s="26"/>
      <c r="E684" s="26"/>
      <c r="F684" s="61"/>
      <c r="G684" s="26"/>
    </row>
    <row r="685" spans="1:7" ht="13.5" customHeight="1">
      <c r="A685" s="26"/>
      <c r="B685" s="60"/>
      <c r="C685" s="26"/>
      <c r="D685" s="26"/>
      <c r="E685" s="26"/>
      <c r="F685" s="61"/>
      <c r="G685" s="26"/>
    </row>
    <row r="686" spans="1:7" ht="13.5" customHeight="1">
      <c r="A686" s="26"/>
      <c r="B686" s="60"/>
      <c r="C686" s="26"/>
      <c r="D686" s="26"/>
      <c r="E686" s="26"/>
      <c r="F686" s="61"/>
      <c r="G686" s="26"/>
    </row>
    <row r="687" spans="1:7" ht="13.5" customHeight="1">
      <c r="A687" s="26"/>
      <c r="B687" s="60"/>
      <c r="C687" s="26"/>
      <c r="D687" s="26"/>
      <c r="E687" s="26"/>
      <c r="F687" s="61"/>
      <c r="G687" s="26"/>
    </row>
    <row r="688" spans="1:7" ht="13.5" customHeight="1">
      <c r="A688" s="26"/>
      <c r="B688" s="60"/>
      <c r="C688" s="26"/>
      <c r="D688" s="26"/>
      <c r="E688" s="26"/>
      <c r="F688" s="61"/>
      <c r="G688" s="26"/>
    </row>
    <row r="689" spans="1:7" ht="13.5" customHeight="1">
      <c r="A689" s="26"/>
      <c r="B689" s="60"/>
      <c r="C689" s="26"/>
      <c r="D689" s="26"/>
      <c r="E689" s="26"/>
      <c r="F689" s="61"/>
      <c r="G689" s="26"/>
    </row>
    <row r="690" spans="1:7" ht="13.5" customHeight="1">
      <c r="A690" s="26"/>
      <c r="B690" s="60"/>
      <c r="C690" s="26"/>
      <c r="D690" s="26"/>
      <c r="E690" s="26"/>
      <c r="F690" s="61"/>
      <c r="G690" s="26"/>
    </row>
    <row r="691" spans="1:7" ht="13.5" customHeight="1">
      <c r="A691" s="26"/>
      <c r="B691" s="60"/>
      <c r="C691" s="26"/>
      <c r="D691" s="26"/>
      <c r="E691" s="26"/>
      <c r="F691" s="61"/>
      <c r="G691" s="26"/>
    </row>
    <row r="692" spans="1:7" ht="13.5" customHeight="1">
      <c r="A692" s="26"/>
      <c r="B692" s="60"/>
      <c r="C692" s="26"/>
      <c r="D692" s="26"/>
      <c r="E692" s="26"/>
      <c r="F692" s="61"/>
      <c r="G692" s="26"/>
    </row>
    <row r="693" spans="1:7" ht="13.5" customHeight="1">
      <c r="A693" s="26"/>
      <c r="B693" s="60"/>
      <c r="C693" s="26"/>
      <c r="D693" s="26"/>
      <c r="E693" s="26"/>
      <c r="F693" s="61"/>
      <c r="G693" s="26"/>
    </row>
    <row r="694" spans="1:7" ht="13.5" customHeight="1">
      <c r="A694" s="26"/>
      <c r="B694" s="60"/>
      <c r="C694" s="26"/>
      <c r="D694" s="26"/>
      <c r="E694" s="26"/>
      <c r="F694" s="61"/>
      <c r="G694" s="26"/>
    </row>
    <row r="695" spans="1:7" ht="13.5" customHeight="1">
      <c r="A695" s="26"/>
      <c r="B695" s="60"/>
      <c r="C695" s="26"/>
      <c r="D695" s="26"/>
      <c r="E695" s="26"/>
      <c r="F695" s="61"/>
      <c r="G695" s="26"/>
    </row>
    <row r="696" spans="1:7" ht="13.5" customHeight="1">
      <c r="A696" s="26"/>
      <c r="B696" s="60"/>
      <c r="C696" s="26"/>
      <c r="D696" s="26"/>
      <c r="E696" s="26"/>
      <c r="F696" s="61"/>
      <c r="G696" s="26"/>
    </row>
    <row r="697" spans="1:7" ht="13.5" customHeight="1">
      <c r="A697" s="26"/>
      <c r="B697" s="60"/>
      <c r="C697" s="26"/>
      <c r="D697" s="26"/>
      <c r="E697" s="26"/>
      <c r="F697" s="61"/>
      <c r="G697" s="26"/>
    </row>
    <row r="698" spans="1:7" ht="13.5" customHeight="1">
      <c r="A698" s="26"/>
      <c r="B698" s="60"/>
      <c r="C698" s="26"/>
      <c r="D698" s="26"/>
      <c r="E698" s="26"/>
      <c r="F698" s="61"/>
      <c r="G698" s="26"/>
    </row>
    <row r="699" spans="1:7" ht="13.5" customHeight="1">
      <c r="A699" s="26"/>
      <c r="B699" s="60"/>
      <c r="C699" s="26"/>
      <c r="D699" s="26"/>
      <c r="E699" s="26"/>
      <c r="F699" s="61"/>
      <c r="G699" s="26"/>
    </row>
    <row r="700" spans="1:7" ht="13.5" customHeight="1">
      <c r="A700" s="26"/>
      <c r="B700" s="60"/>
      <c r="C700" s="26"/>
      <c r="D700" s="26"/>
      <c r="E700" s="26"/>
      <c r="F700" s="61"/>
      <c r="G700" s="26"/>
    </row>
    <row r="701" spans="1:7" ht="13.5" customHeight="1">
      <c r="A701" s="26"/>
      <c r="B701" s="60"/>
      <c r="C701" s="26"/>
      <c r="D701" s="26"/>
      <c r="E701" s="26"/>
      <c r="F701" s="61"/>
      <c r="G701" s="26"/>
    </row>
    <row r="702" spans="1:7" ht="13.5" customHeight="1">
      <c r="A702" s="26"/>
      <c r="B702" s="60"/>
      <c r="C702" s="26"/>
      <c r="D702" s="26"/>
      <c r="E702" s="26"/>
      <c r="F702" s="61"/>
      <c r="G702" s="26"/>
    </row>
    <row r="703" spans="1:7" ht="13.5" customHeight="1">
      <c r="A703" s="26"/>
      <c r="B703" s="60"/>
      <c r="C703" s="26"/>
      <c r="D703" s="26"/>
      <c r="E703" s="26"/>
      <c r="F703" s="61"/>
      <c r="G703" s="26"/>
    </row>
    <row r="704" spans="1:7" ht="13.5" customHeight="1">
      <c r="A704" s="26"/>
      <c r="B704" s="60"/>
      <c r="C704" s="26"/>
      <c r="D704" s="26"/>
      <c r="E704" s="26"/>
      <c r="F704" s="61"/>
      <c r="G704" s="26"/>
    </row>
    <row r="705" spans="1:7" ht="13.5" customHeight="1">
      <c r="A705" s="26"/>
      <c r="B705" s="60"/>
      <c r="C705" s="26"/>
      <c r="D705" s="26"/>
      <c r="E705" s="26"/>
      <c r="F705" s="61"/>
      <c r="G705" s="26"/>
    </row>
    <row r="706" spans="1:7" ht="13.5" customHeight="1">
      <c r="A706" s="26"/>
      <c r="B706" s="60"/>
      <c r="C706" s="26"/>
      <c r="D706" s="26"/>
      <c r="E706" s="26"/>
      <c r="F706" s="61"/>
      <c r="G706" s="26"/>
    </row>
    <row r="707" spans="1:7" ht="13.5" customHeight="1">
      <c r="A707" s="26"/>
      <c r="B707" s="60"/>
      <c r="C707" s="26"/>
      <c r="D707" s="26"/>
      <c r="E707" s="26"/>
      <c r="F707" s="61"/>
      <c r="G707" s="26"/>
    </row>
    <row r="708" spans="1:7" ht="13.5" customHeight="1">
      <c r="A708" s="26"/>
      <c r="B708" s="60"/>
      <c r="C708" s="26"/>
      <c r="D708" s="26"/>
      <c r="E708" s="26"/>
      <c r="F708" s="61"/>
      <c r="G708" s="26"/>
    </row>
    <row r="709" spans="1:7" ht="13.5" customHeight="1">
      <c r="A709" s="26"/>
      <c r="B709" s="60"/>
      <c r="C709" s="26"/>
      <c r="D709" s="26"/>
      <c r="E709" s="26"/>
      <c r="F709" s="61"/>
      <c r="G709" s="26"/>
    </row>
    <row r="710" spans="1:7" ht="13.5" customHeight="1">
      <c r="A710" s="26"/>
      <c r="B710" s="60"/>
      <c r="C710" s="26"/>
      <c r="D710" s="26"/>
      <c r="E710" s="26"/>
      <c r="F710" s="61"/>
      <c r="G710" s="26"/>
    </row>
    <row r="711" spans="1:7" ht="13.5" customHeight="1">
      <c r="A711" s="26"/>
      <c r="B711" s="60"/>
      <c r="C711" s="26"/>
      <c r="D711" s="26"/>
      <c r="E711" s="26"/>
      <c r="F711" s="61"/>
      <c r="G711" s="26"/>
    </row>
    <row r="712" spans="1:7" ht="13.5" customHeight="1">
      <c r="A712" s="26"/>
      <c r="B712" s="60"/>
      <c r="C712" s="26"/>
      <c r="D712" s="26"/>
      <c r="E712" s="26"/>
      <c r="F712" s="61"/>
      <c r="G712" s="26"/>
    </row>
    <row r="713" spans="1:7" ht="13.5" customHeight="1">
      <c r="A713" s="26"/>
      <c r="B713" s="60"/>
      <c r="C713" s="26"/>
      <c r="D713" s="26"/>
      <c r="E713" s="26"/>
      <c r="F713" s="61"/>
      <c r="G713" s="26"/>
    </row>
    <row r="714" spans="1:7" ht="13.5" customHeight="1">
      <c r="A714" s="26"/>
      <c r="B714" s="60"/>
      <c r="C714" s="26"/>
      <c r="D714" s="26"/>
      <c r="E714" s="26"/>
      <c r="F714" s="61"/>
      <c r="G714" s="26"/>
    </row>
    <row r="715" spans="1:7" ht="13.5" customHeight="1">
      <c r="A715" s="26"/>
      <c r="B715" s="60"/>
      <c r="C715" s="26"/>
      <c r="D715" s="26"/>
      <c r="E715" s="26"/>
      <c r="F715" s="61"/>
      <c r="G715" s="26"/>
    </row>
    <row r="716" spans="1:7" ht="13.5" customHeight="1">
      <c r="A716" s="26"/>
      <c r="B716" s="60"/>
      <c r="C716" s="26"/>
      <c r="D716" s="26"/>
      <c r="E716" s="26"/>
      <c r="F716" s="61"/>
      <c r="G716" s="26"/>
    </row>
    <row r="717" spans="1:7" ht="13.5" customHeight="1">
      <c r="A717" s="26"/>
      <c r="B717" s="60"/>
      <c r="C717" s="26"/>
      <c r="D717" s="26"/>
      <c r="E717" s="26"/>
      <c r="F717" s="61"/>
      <c r="G717" s="26"/>
    </row>
    <row r="718" spans="1:7" ht="13.5" customHeight="1">
      <c r="A718" s="26"/>
      <c r="B718" s="60"/>
      <c r="C718" s="26"/>
      <c r="D718" s="26"/>
      <c r="E718" s="26"/>
      <c r="F718" s="61"/>
      <c r="G718" s="26"/>
    </row>
    <row r="719" spans="1:7" ht="13.5" customHeight="1">
      <c r="A719" s="26"/>
      <c r="B719" s="60"/>
      <c r="C719" s="26"/>
      <c r="D719" s="26"/>
      <c r="E719" s="26"/>
      <c r="F719" s="61"/>
      <c r="G719" s="26"/>
    </row>
    <row r="720" spans="1:7" ht="13.5" customHeight="1">
      <c r="A720" s="26"/>
      <c r="B720" s="60"/>
      <c r="C720" s="26"/>
      <c r="D720" s="26"/>
      <c r="E720" s="26"/>
      <c r="F720" s="61"/>
      <c r="G720" s="26"/>
    </row>
    <row r="721" spans="1:7" ht="13.5" customHeight="1">
      <c r="A721" s="26"/>
      <c r="B721" s="60"/>
      <c r="C721" s="26"/>
      <c r="D721" s="26"/>
      <c r="E721" s="26"/>
      <c r="F721" s="61"/>
      <c r="G721" s="26"/>
    </row>
    <row r="722" spans="1:7" ht="13.5" customHeight="1">
      <c r="A722" s="26"/>
      <c r="B722" s="60"/>
      <c r="C722" s="26"/>
      <c r="D722" s="26"/>
      <c r="E722" s="26"/>
      <c r="F722" s="61"/>
      <c r="G722" s="26"/>
    </row>
    <row r="723" spans="1:7" ht="13.5" customHeight="1">
      <c r="A723" s="26"/>
      <c r="B723" s="60"/>
      <c r="C723" s="26"/>
      <c r="D723" s="26"/>
      <c r="E723" s="26"/>
      <c r="F723" s="61"/>
      <c r="G723" s="26"/>
    </row>
    <row r="724" spans="1:7" ht="13.5" customHeight="1">
      <c r="A724" s="26"/>
      <c r="B724" s="60"/>
      <c r="C724" s="26"/>
      <c r="D724" s="26"/>
      <c r="E724" s="26"/>
      <c r="F724" s="61"/>
      <c r="G724" s="26"/>
    </row>
    <row r="725" spans="1:7" ht="13.5" customHeight="1">
      <c r="A725" s="26"/>
      <c r="B725" s="60"/>
      <c r="C725" s="26"/>
      <c r="D725" s="26"/>
      <c r="E725" s="26"/>
      <c r="F725" s="61"/>
      <c r="G725" s="26"/>
    </row>
    <row r="726" spans="1:7" ht="13.5" customHeight="1">
      <c r="A726" s="26"/>
      <c r="B726" s="60"/>
      <c r="C726" s="26"/>
      <c r="D726" s="26"/>
      <c r="E726" s="26"/>
      <c r="F726" s="61"/>
      <c r="G726" s="26"/>
    </row>
    <row r="727" spans="1:7" ht="13.5" customHeight="1">
      <c r="A727" s="26"/>
      <c r="B727" s="60"/>
      <c r="C727" s="26"/>
      <c r="D727" s="26"/>
      <c r="E727" s="26"/>
      <c r="F727" s="61"/>
      <c r="G727" s="26"/>
    </row>
    <row r="728" spans="1:7" ht="13.5" customHeight="1">
      <c r="A728" s="26"/>
      <c r="B728" s="60"/>
      <c r="C728" s="26"/>
      <c r="D728" s="26"/>
      <c r="E728" s="26"/>
      <c r="F728" s="61"/>
      <c r="G728" s="26"/>
    </row>
    <row r="729" spans="1:7" ht="13.5" customHeight="1">
      <c r="A729" s="26"/>
      <c r="B729" s="60"/>
      <c r="C729" s="26"/>
      <c r="D729" s="26"/>
      <c r="E729" s="26"/>
      <c r="F729" s="61"/>
      <c r="G729" s="26"/>
    </row>
    <row r="730" spans="1:7" ht="13.5" customHeight="1">
      <c r="A730" s="26"/>
      <c r="B730" s="60"/>
      <c r="C730" s="26"/>
      <c r="D730" s="26"/>
      <c r="E730" s="26"/>
      <c r="F730" s="61"/>
      <c r="G730" s="26"/>
    </row>
    <row r="731" spans="1:7" ht="13.5" customHeight="1">
      <c r="A731" s="26"/>
      <c r="B731" s="60"/>
      <c r="C731" s="26"/>
      <c r="D731" s="26"/>
      <c r="E731" s="26"/>
      <c r="F731" s="61"/>
      <c r="G731" s="26"/>
    </row>
    <row r="732" spans="1:7" ht="13.5" customHeight="1">
      <c r="A732" s="26"/>
      <c r="B732" s="60"/>
      <c r="C732" s="26"/>
      <c r="D732" s="26"/>
      <c r="E732" s="26"/>
      <c r="F732" s="61"/>
      <c r="G732" s="26"/>
    </row>
    <row r="733" spans="1:7" ht="13.5" customHeight="1">
      <c r="A733" s="26"/>
      <c r="B733" s="60"/>
      <c r="C733" s="26"/>
      <c r="D733" s="26"/>
      <c r="E733" s="26"/>
      <c r="F733" s="61"/>
      <c r="G733" s="26"/>
    </row>
    <row r="734" spans="1:7" ht="13.5" customHeight="1">
      <c r="A734" s="26"/>
      <c r="B734" s="60"/>
      <c r="C734" s="26"/>
      <c r="D734" s="26"/>
      <c r="E734" s="26"/>
      <c r="F734" s="61"/>
      <c r="G734" s="26"/>
    </row>
    <row r="735" spans="1:7" ht="13.5" customHeight="1">
      <c r="A735" s="26"/>
      <c r="B735" s="60"/>
      <c r="C735" s="26"/>
      <c r="D735" s="26"/>
      <c r="E735" s="26"/>
      <c r="F735" s="61"/>
      <c r="G735" s="26"/>
    </row>
    <row r="736" spans="1:7" ht="13.5" customHeight="1">
      <c r="A736" s="26"/>
      <c r="B736" s="60"/>
      <c r="C736" s="26"/>
      <c r="D736" s="26"/>
      <c r="E736" s="26"/>
      <c r="F736" s="61"/>
      <c r="G736" s="26"/>
    </row>
    <row r="737" spans="1:7" ht="13.5" customHeight="1">
      <c r="A737" s="26"/>
      <c r="B737" s="60"/>
      <c r="C737" s="26"/>
      <c r="D737" s="26"/>
      <c r="E737" s="26"/>
      <c r="F737" s="61"/>
      <c r="G737" s="26"/>
    </row>
    <row r="738" spans="1:7" ht="13.5" customHeight="1">
      <c r="A738" s="26"/>
      <c r="B738" s="60"/>
      <c r="C738" s="26"/>
      <c r="D738" s="26"/>
      <c r="E738" s="26"/>
      <c r="F738" s="61"/>
      <c r="G738" s="26"/>
    </row>
    <row r="739" spans="1:7" ht="13.5" customHeight="1">
      <c r="A739" s="26"/>
      <c r="B739" s="60"/>
      <c r="C739" s="26"/>
      <c r="D739" s="26"/>
      <c r="E739" s="26"/>
      <c r="F739" s="61"/>
      <c r="G739" s="26"/>
    </row>
    <row r="740" spans="1:7" ht="13.5" customHeight="1">
      <c r="A740" s="26"/>
      <c r="B740" s="60"/>
      <c r="C740" s="26"/>
      <c r="D740" s="26"/>
      <c r="E740" s="26"/>
      <c r="F740" s="61"/>
      <c r="G740" s="26"/>
    </row>
    <row r="741" spans="1:7" ht="13.5" customHeight="1">
      <c r="A741" s="26"/>
      <c r="B741" s="60"/>
      <c r="C741" s="26"/>
      <c r="D741" s="26"/>
      <c r="E741" s="26"/>
      <c r="F741" s="61"/>
      <c r="G741" s="26"/>
    </row>
    <row r="742" spans="1:7" ht="13.5" customHeight="1">
      <c r="A742" s="26"/>
      <c r="B742" s="60"/>
      <c r="C742" s="26"/>
      <c r="D742" s="26"/>
      <c r="E742" s="26"/>
      <c r="F742" s="61"/>
      <c r="G742" s="26"/>
    </row>
    <row r="743" spans="1:7" ht="13.5" customHeight="1">
      <c r="A743" s="26"/>
      <c r="B743" s="60"/>
      <c r="C743" s="26"/>
      <c r="D743" s="26"/>
      <c r="E743" s="26"/>
      <c r="F743" s="61"/>
      <c r="G743" s="26"/>
    </row>
    <row r="744" spans="1:7" ht="13.5" customHeight="1">
      <c r="A744" s="26"/>
      <c r="B744" s="60"/>
      <c r="C744" s="26"/>
      <c r="D744" s="26"/>
      <c r="E744" s="26"/>
      <c r="F744" s="61"/>
      <c r="G744" s="26"/>
    </row>
    <row r="745" spans="1:7" ht="13.5" customHeight="1">
      <c r="A745" s="26"/>
      <c r="B745" s="60"/>
      <c r="C745" s="26"/>
      <c r="D745" s="26"/>
      <c r="E745" s="26"/>
      <c r="F745" s="61"/>
      <c r="G745" s="26"/>
    </row>
    <row r="746" spans="1:7" ht="13.5" customHeight="1">
      <c r="A746" s="26"/>
      <c r="B746" s="60"/>
      <c r="C746" s="26"/>
      <c r="D746" s="26"/>
      <c r="E746" s="26"/>
      <c r="F746" s="61"/>
      <c r="G746" s="26"/>
    </row>
    <row r="747" spans="1:7" ht="13.5" customHeight="1">
      <c r="A747" s="26"/>
      <c r="B747" s="60"/>
      <c r="C747" s="26"/>
      <c r="D747" s="26"/>
      <c r="E747" s="26"/>
      <c r="F747" s="61"/>
      <c r="G747" s="26"/>
    </row>
    <row r="748" spans="1:7" ht="13.5" customHeight="1">
      <c r="A748" s="26"/>
      <c r="B748" s="60"/>
      <c r="C748" s="26"/>
      <c r="D748" s="26"/>
      <c r="E748" s="26"/>
      <c r="F748" s="61"/>
      <c r="G748" s="26"/>
    </row>
    <row r="749" spans="1:7" ht="13.5" customHeight="1">
      <c r="A749" s="26"/>
      <c r="B749" s="60"/>
      <c r="C749" s="26"/>
      <c r="D749" s="26"/>
      <c r="E749" s="26"/>
      <c r="F749" s="61"/>
      <c r="G749" s="26"/>
    </row>
    <row r="750" spans="1:7" ht="13.5" customHeight="1">
      <c r="A750" s="26"/>
      <c r="B750" s="60"/>
      <c r="C750" s="26"/>
      <c r="D750" s="26"/>
      <c r="E750" s="26"/>
      <c r="F750" s="61"/>
      <c r="G750" s="26"/>
    </row>
    <row r="751" spans="1:7" ht="13.5" customHeight="1">
      <c r="A751" s="26"/>
      <c r="B751" s="60"/>
      <c r="C751" s="26"/>
      <c r="D751" s="26"/>
      <c r="E751" s="26"/>
      <c r="F751" s="61"/>
      <c r="G751" s="26"/>
    </row>
    <row r="752" spans="1:7" ht="13.5" customHeight="1">
      <c r="A752" s="26"/>
      <c r="B752" s="60"/>
      <c r="C752" s="26"/>
      <c r="D752" s="26"/>
      <c r="E752" s="26"/>
      <c r="F752" s="61"/>
      <c r="G752" s="26"/>
    </row>
    <row r="753" spans="1:7" ht="13.5" customHeight="1">
      <c r="A753" s="26"/>
      <c r="B753" s="60"/>
      <c r="C753" s="26"/>
      <c r="D753" s="26"/>
      <c r="E753" s="26"/>
      <c r="F753" s="61"/>
      <c r="G753" s="26"/>
    </row>
    <row r="754" spans="1:7" ht="13.5" customHeight="1">
      <c r="A754" s="26"/>
      <c r="B754" s="60"/>
      <c r="C754" s="26"/>
      <c r="D754" s="26"/>
      <c r="E754" s="26"/>
      <c r="F754" s="61"/>
      <c r="G754" s="26"/>
    </row>
    <row r="755" spans="1:7" ht="13.5" customHeight="1">
      <c r="A755" s="26"/>
      <c r="B755" s="60"/>
      <c r="C755" s="26"/>
      <c r="D755" s="26"/>
      <c r="E755" s="26"/>
      <c r="F755" s="61"/>
      <c r="G755" s="26"/>
    </row>
    <row r="756" spans="1:7" ht="13.5" customHeight="1">
      <c r="A756" s="26"/>
      <c r="B756" s="60"/>
      <c r="C756" s="26"/>
      <c r="D756" s="26"/>
      <c r="E756" s="26"/>
      <c r="F756" s="61"/>
      <c r="G756" s="26"/>
    </row>
    <row r="757" spans="1:7" ht="13.5" customHeight="1">
      <c r="A757" s="26"/>
      <c r="B757" s="60"/>
      <c r="C757" s="26"/>
      <c r="D757" s="26"/>
      <c r="E757" s="26"/>
      <c r="F757" s="61"/>
      <c r="G757" s="26"/>
    </row>
    <row r="758" spans="1:7" ht="13.5" customHeight="1">
      <c r="A758" s="26"/>
      <c r="B758" s="60"/>
      <c r="C758" s="26"/>
      <c r="D758" s="26"/>
      <c r="E758" s="26"/>
      <c r="F758" s="61"/>
      <c r="G758" s="26"/>
    </row>
    <row r="759" spans="1:7" ht="13.5" customHeight="1">
      <c r="A759" s="26"/>
      <c r="B759" s="60"/>
      <c r="C759" s="26"/>
      <c r="D759" s="26"/>
      <c r="E759" s="26"/>
      <c r="F759" s="61"/>
      <c r="G759" s="26"/>
    </row>
    <row r="760" spans="1:7" ht="13.5" customHeight="1">
      <c r="A760" s="26"/>
      <c r="B760" s="60"/>
      <c r="C760" s="26"/>
      <c r="D760" s="26"/>
      <c r="E760" s="26"/>
      <c r="F760" s="61"/>
      <c r="G760" s="26"/>
    </row>
    <row r="761" spans="1:7" ht="13.5" customHeight="1">
      <c r="A761" s="26"/>
      <c r="B761" s="60"/>
      <c r="C761" s="26"/>
      <c r="D761" s="26"/>
      <c r="E761" s="26"/>
      <c r="F761" s="61"/>
      <c r="G761" s="26"/>
    </row>
    <row r="762" spans="1:7" ht="13.5" customHeight="1">
      <c r="A762" s="26"/>
      <c r="B762" s="60"/>
      <c r="C762" s="26"/>
      <c r="D762" s="26"/>
      <c r="E762" s="26"/>
      <c r="F762" s="61"/>
      <c r="G762" s="26"/>
    </row>
    <row r="763" spans="1:7" ht="13.5" customHeight="1">
      <c r="A763" s="26"/>
      <c r="B763" s="60"/>
      <c r="C763" s="26"/>
      <c r="D763" s="26"/>
      <c r="E763" s="26"/>
      <c r="F763" s="61"/>
      <c r="G763" s="26"/>
    </row>
    <row r="764" spans="1:7" ht="13.5" customHeight="1">
      <c r="A764" s="26"/>
      <c r="B764" s="60"/>
      <c r="C764" s="26"/>
      <c r="D764" s="26"/>
      <c r="E764" s="26"/>
      <c r="F764" s="61"/>
      <c r="G764" s="26"/>
    </row>
    <row r="765" spans="1:7" ht="13.5" customHeight="1">
      <c r="A765" s="26"/>
      <c r="B765" s="60"/>
      <c r="C765" s="26"/>
      <c r="D765" s="26"/>
      <c r="E765" s="26"/>
      <c r="F765" s="61"/>
      <c r="G765" s="26"/>
    </row>
    <row r="766" spans="1:7" ht="13.5" customHeight="1">
      <c r="A766" s="26"/>
      <c r="B766" s="60"/>
      <c r="C766" s="26"/>
      <c r="D766" s="26"/>
      <c r="E766" s="26"/>
      <c r="F766" s="61"/>
      <c r="G766" s="26"/>
    </row>
    <row r="767" spans="1:7" ht="13.5" customHeight="1">
      <c r="A767" s="26"/>
      <c r="B767" s="60"/>
      <c r="C767" s="26"/>
      <c r="D767" s="26"/>
      <c r="E767" s="26"/>
      <c r="F767" s="61"/>
      <c r="G767" s="26"/>
    </row>
    <row r="768" spans="1:7" ht="13.5" customHeight="1">
      <c r="A768" s="26"/>
      <c r="B768" s="60"/>
      <c r="C768" s="26"/>
      <c r="D768" s="26"/>
      <c r="E768" s="26"/>
      <c r="F768" s="61"/>
      <c r="G768" s="26"/>
    </row>
    <row r="769" spans="1:7" ht="13.5" customHeight="1">
      <c r="A769" s="26"/>
      <c r="B769" s="60"/>
      <c r="C769" s="26"/>
      <c r="D769" s="26"/>
      <c r="E769" s="26"/>
      <c r="F769" s="61"/>
      <c r="G769" s="26"/>
    </row>
    <row r="770" spans="1:7" ht="13.5" customHeight="1">
      <c r="A770" s="26"/>
      <c r="B770" s="60"/>
      <c r="C770" s="26"/>
      <c r="D770" s="26"/>
      <c r="E770" s="26"/>
      <c r="F770" s="61"/>
      <c r="G770" s="26"/>
    </row>
    <row r="771" spans="1:7" ht="13.5" customHeight="1">
      <c r="A771" s="26"/>
      <c r="B771" s="60"/>
      <c r="C771" s="26"/>
      <c r="D771" s="26"/>
      <c r="E771" s="26"/>
      <c r="F771" s="61"/>
      <c r="G771" s="26"/>
    </row>
    <row r="772" spans="1:7" ht="13.5" customHeight="1">
      <c r="A772" s="26"/>
      <c r="B772" s="60"/>
      <c r="C772" s="26"/>
      <c r="D772" s="26"/>
      <c r="E772" s="26"/>
      <c r="F772" s="61"/>
      <c r="G772" s="26"/>
    </row>
    <row r="773" spans="1:7" ht="13.5" customHeight="1">
      <c r="A773" s="26"/>
      <c r="B773" s="60"/>
      <c r="C773" s="26"/>
      <c r="D773" s="26"/>
      <c r="E773" s="26"/>
      <c r="F773" s="61"/>
      <c r="G773" s="26"/>
    </row>
    <row r="774" spans="1:7" ht="13.5" customHeight="1">
      <c r="A774" s="26"/>
      <c r="B774" s="60"/>
      <c r="C774" s="26"/>
      <c r="D774" s="26"/>
      <c r="E774" s="26"/>
      <c r="F774" s="61"/>
      <c r="G774" s="26"/>
    </row>
    <row r="775" spans="1:7" ht="13.5" customHeight="1">
      <c r="A775" s="26"/>
      <c r="B775" s="60"/>
      <c r="C775" s="26"/>
      <c r="D775" s="26"/>
      <c r="E775" s="26"/>
      <c r="F775" s="61"/>
      <c r="G775" s="26"/>
    </row>
    <row r="776" spans="1:7" ht="13.5" customHeight="1">
      <c r="A776" s="26"/>
      <c r="B776" s="60"/>
      <c r="C776" s="26"/>
      <c r="D776" s="26"/>
      <c r="E776" s="26"/>
      <c r="F776" s="61"/>
      <c r="G776" s="26"/>
    </row>
    <row r="777" spans="1:7" ht="13.5" customHeight="1">
      <c r="A777" s="26"/>
      <c r="B777" s="60"/>
      <c r="C777" s="26"/>
      <c r="D777" s="26"/>
      <c r="E777" s="26"/>
      <c r="F777" s="61"/>
      <c r="G777" s="26"/>
    </row>
    <row r="778" spans="1:7" ht="13.5" customHeight="1">
      <c r="A778" s="26"/>
      <c r="B778" s="60"/>
      <c r="C778" s="26"/>
      <c r="D778" s="26"/>
      <c r="E778" s="26"/>
      <c r="F778" s="61"/>
      <c r="G778" s="26"/>
    </row>
    <row r="779" spans="1:7" ht="13.5" customHeight="1">
      <c r="A779" s="26"/>
      <c r="B779" s="60"/>
      <c r="C779" s="26"/>
      <c r="D779" s="26"/>
      <c r="E779" s="26"/>
      <c r="F779" s="61"/>
      <c r="G779" s="26"/>
    </row>
    <row r="780" spans="1:7" ht="13.5" customHeight="1">
      <c r="A780" s="26"/>
      <c r="B780" s="60"/>
      <c r="C780" s="26"/>
      <c r="D780" s="26"/>
      <c r="E780" s="26"/>
      <c r="F780" s="61"/>
      <c r="G780" s="26"/>
    </row>
    <row r="781" spans="1:7" ht="13.5" customHeight="1">
      <c r="A781" s="26"/>
      <c r="B781" s="60"/>
      <c r="C781" s="26"/>
      <c r="D781" s="26"/>
      <c r="E781" s="26"/>
      <c r="F781" s="61"/>
      <c r="G781" s="26"/>
    </row>
    <row r="782" spans="1:7" ht="13.5" customHeight="1">
      <c r="A782" s="26"/>
      <c r="B782" s="60"/>
      <c r="C782" s="26"/>
      <c r="D782" s="26"/>
      <c r="E782" s="26"/>
      <c r="F782" s="61"/>
      <c r="G782" s="26"/>
    </row>
    <row r="783" spans="1:7" ht="13.5" customHeight="1">
      <c r="A783" s="26"/>
      <c r="B783" s="60"/>
      <c r="C783" s="26"/>
      <c r="D783" s="26"/>
      <c r="E783" s="26"/>
      <c r="F783" s="61"/>
      <c r="G783" s="26"/>
    </row>
    <row r="784" spans="1:7" ht="13.5" customHeight="1">
      <c r="A784" s="26"/>
      <c r="B784" s="60"/>
      <c r="C784" s="26"/>
      <c r="D784" s="26"/>
      <c r="E784" s="26"/>
      <c r="F784" s="61"/>
      <c r="G784" s="26"/>
    </row>
    <row r="785" spans="1:7" ht="13.5" customHeight="1">
      <c r="A785" s="26"/>
      <c r="B785" s="60"/>
      <c r="C785" s="26"/>
      <c r="D785" s="26"/>
      <c r="E785" s="26"/>
      <c r="F785" s="61"/>
      <c r="G785" s="26"/>
    </row>
    <row r="786" spans="1:7" ht="13.5" customHeight="1">
      <c r="A786" s="26"/>
      <c r="B786" s="60"/>
      <c r="C786" s="26"/>
      <c r="D786" s="26"/>
      <c r="E786" s="26"/>
      <c r="F786" s="61"/>
      <c r="G786" s="26"/>
    </row>
    <row r="787" spans="1:7" ht="13.5" customHeight="1">
      <c r="A787" s="26"/>
      <c r="B787" s="60"/>
      <c r="C787" s="26"/>
      <c r="D787" s="26"/>
      <c r="E787" s="26"/>
      <c r="F787" s="61"/>
      <c r="G787" s="26"/>
    </row>
    <row r="788" spans="1:7" ht="13.5" customHeight="1">
      <c r="A788" s="26"/>
      <c r="B788" s="60"/>
      <c r="C788" s="26"/>
      <c r="D788" s="26"/>
      <c r="E788" s="26"/>
      <c r="F788" s="61"/>
      <c r="G788" s="26"/>
    </row>
    <row r="789" spans="1:7" ht="13.5" customHeight="1">
      <c r="A789" s="26"/>
      <c r="B789" s="60"/>
      <c r="C789" s="26"/>
      <c r="D789" s="26"/>
      <c r="E789" s="26"/>
      <c r="F789" s="61"/>
      <c r="G789" s="26"/>
    </row>
    <row r="790" spans="1:7" ht="13.5" customHeight="1">
      <c r="A790" s="26"/>
      <c r="B790" s="60"/>
      <c r="C790" s="26"/>
      <c r="D790" s="26"/>
      <c r="E790" s="26"/>
      <c r="F790" s="61"/>
      <c r="G790" s="26"/>
    </row>
    <row r="791" spans="1:7" ht="13.5" customHeight="1">
      <c r="A791" s="26"/>
      <c r="B791" s="60"/>
      <c r="C791" s="26"/>
      <c r="D791" s="26"/>
      <c r="E791" s="26"/>
      <c r="F791" s="61"/>
      <c r="G791" s="26"/>
    </row>
    <row r="792" spans="1:7" ht="13.5" customHeight="1">
      <c r="A792" s="26"/>
      <c r="B792" s="60"/>
      <c r="C792" s="26"/>
      <c r="D792" s="26"/>
      <c r="E792" s="26"/>
      <c r="F792" s="61"/>
      <c r="G792" s="26"/>
    </row>
    <row r="793" spans="1:7" ht="13.5" customHeight="1">
      <c r="A793" s="26"/>
      <c r="B793" s="60"/>
      <c r="C793" s="26"/>
      <c r="D793" s="26"/>
      <c r="E793" s="26"/>
      <c r="F793" s="61"/>
      <c r="G793" s="26"/>
    </row>
    <row r="794" spans="1:7" ht="13.5" customHeight="1">
      <c r="A794" s="26"/>
      <c r="B794" s="60"/>
      <c r="C794" s="26"/>
      <c r="D794" s="26"/>
      <c r="E794" s="26"/>
      <c r="F794" s="61"/>
      <c r="G794" s="26"/>
    </row>
    <row r="795" spans="1:7" ht="13.5" customHeight="1">
      <c r="A795" s="26"/>
      <c r="B795" s="60"/>
      <c r="C795" s="26"/>
      <c r="D795" s="26"/>
      <c r="E795" s="26"/>
      <c r="F795" s="61"/>
      <c r="G795" s="26"/>
    </row>
    <row r="796" spans="1:7" ht="13.5" customHeight="1">
      <c r="A796" s="26"/>
      <c r="B796" s="60"/>
      <c r="C796" s="26"/>
      <c r="D796" s="26"/>
      <c r="E796" s="26"/>
      <c r="F796" s="61"/>
      <c r="G796" s="26"/>
    </row>
    <row r="797" spans="1:7" ht="13.5" customHeight="1">
      <c r="A797" s="26"/>
      <c r="B797" s="60"/>
      <c r="C797" s="26"/>
      <c r="D797" s="26"/>
      <c r="E797" s="26"/>
      <c r="F797" s="61"/>
      <c r="G797" s="26"/>
    </row>
    <row r="798" spans="1:7" ht="13.5" customHeight="1">
      <c r="A798" s="26"/>
      <c r="B798" s="60"/>
      <c r="C798" s="26"/>
      <c r="D798" s="26"/>
      <c r="E798" s="26"/>
      <c r="F798" s="61"/>
      <c r="G798" s="26"/>
    </row>
    <row r="799" spans="1:7" ht="13.5" customHeight="1">
      <c r="A799" s="26"/>
      <c r="B799" s="60"/>
      <c r="C799" s="26"/>
      <c r="D799" s="26"/>
      <c r="E799" s="26"/>
      <c r="F799" s="61"/>
      <c r="G799" s="26"/>
    </row>
    <row r="800" spans="1:7" ht="13.5" customHeight="1">
      <c r="A800" s="26"/>
      <c r="B800" s="60"/>
      <c r="C800" s="26"/>
      <c r="D800" s="26"/>
      <c r="E800" s="26"/>
      <c r="F800" s="61"/>
      <c r="G800" s="26"/>
    </row>
    <row r="801" spans="1:7" ht="13.5" customHeight="1">
      <c r="A801" s="26"/>
      <c r="B801" s="60"/>
      <c r="C801" s="26"/>
      <c r="D801" s="26"/>
      <c r="E801" s="26"/>
      <c r="F801" s="61"/>
      <c r="G801" s="26"/>
    </row>
    <row r="802" spans="1:7" ht="13.5" customHeight="1">
      <c r="A802" s="26"/>
      <c r="B802" s="60"/>
      <c r="C802" s="26"/>
      <c r="D802" s="26"/>
      <c r="E802" s="26"/>
      <c r="F802" s="61"/>
      <c r="G802" s="26"/>
    </row>
    <row r="803" spans="1:7" ht="13.5" customHeight="1">
      <c r="A803" s="26"/>
      <c r="B803" s="60"/>
      <c r="C803" s="26"/>
      <c r="D803" s="26"/>
      <c r="E803" s="26"/>
      <c r="F803" s="61"/>
      <c r="G803" s="26"/>
    </row>
    <row r="804" spans="1:7" ht="13.5" customHeight="1">
      <c r="A804" s="26"/>
      <c r="B804" s="60"/>
      <c r="C804" s="26"/>
      <c r="D804" s="26"/>
      <c r="E804" s="26"/>
      <c r="F804" s="61"/>
      <c r="G804" s="26"/>
    </row>
    <row r="805" spans="1:7" ht="13.5" customHeight="1">
      <c r="A805" s="26"/>
      <c r="B805" s="60"/>
      <c r="C805" s="26"/>
      <c r="D805" s="26"/>
      <c r="E805" s="26"/>
      <c r="F805" s="61"/>
      <c r="G805" s="26"/>
    </row>
    <row r="806" spans="1:7" ht="13.5" customHeight="1">
      <c r="A806" s="26"/>
      <c r="B806" s="60"/>
      <c r="C806" s="26"/>
      <c r="D806" s="26"/>
      <c r="E806" s="26"/>
      <c r="F806" s="61"/>
      <c r="G806" s="26"/>
    </row>
    <row r="807" spans="1:7" ht="13.5" customHeight="1">
      <c r="A807" s="26"/>
      <c r="B807" s="60"/>
      <c r="C807" s="26"/>
      <c r="D807" s="26"/>
      <c r="E807" s="26"/>
      <c r="F807" s="61"/>
      <c r="G807" s="26"/>
    </row>
    <row r="808" spans="1:7" ht="13.5" customHeight="1">
      <c r="A808" s="26"/>
      <c r="B808" s="60"/>
      <c r="C808" s="26"/>
      <c r="D808" s="26"/>
      <c r="E808" s="26"/>
      <c r="F808" s="61"/>
      <c r="G808" s="26"/>
    </row>
    <row r="809" spans="1:7" ht="13.5" customHeight="1">
      <c r="A809" s="26"/>
      <c r="B809" s="60"/>
      <c r="C809" s="26"/>
      <c r="D809" s="26"/>
      <c r="E809" s="26"/>
      <c r="F809" s="61"/>
      <c r="G809" s="26"/>
    </row>
    <row r="810" spans="1:7" ht="13.5" customHeight="1">
      <c r="A810" s="26"/>
      <c r="B810" s="60"/>
      <c r="C810" s="26"/>
      <c r="D810" s="26"/>
      <c r="E810" s="26"/>
      <c r="F810" s="61"/>
      <c r="G810" s="26"/>
    </row>
    <row r="811" spans="1:7" ht="13.5" customHeight="1">
      <c r="A811" s="26"/>
      <c r="B811" s="60"/>
      <c r="C811" s="26"/>
      <c r="D811" s="26"/>
      <c r="E811" s="26"/>
      <c r="F811" s="61"/>
      <c r="G811" s="26"/>
    </row>
    <row r="812" spans="1:7" ht="13.5" customHeight="1">
      <c r="A812" s="26"/>
      <c r="B812" s="60"/>
      <c r="C812" s="26"/>
      <c r="D812" s="26"/>
      <c r="E812" s="26"/>
      <c r="F812" s="61"/>
      <c r="G812" s="26"/>
    </row>
    <row r="813" spans="1:7" ht="13.5" customHeight="1">
      <c r="A813" s="26"/>
      <c r="B813" s="60"/>
      <c r="C813" s="26"/>
      <c r="D813" s="26"/>
      <c r="E813" s="26"/>
      <c r="F813" s="61"/>
      <c r="G813" s="26"/>
    </row>
    <row r="814" spans="1:7" ht="13.5" customHeight="1">
      <c r="A814" s="26"/>
      <c r="B814" s="60"/>
      <c r="C814" s="26"/>
      <c r="D814" s="26"/>
      <c r="E814" s="26"/>
      <c r="F814" s="61"/>
      <c r="G814" s="26"/>
    </row>
    <row r="815" spans="1:7" ht="13.5" customHeight="1">
      <c r="A815" s="26"/>
      <c r="B815" s="60"/>
      <c r="C815" s="26"/>
      <c r="D815" s="26"/>
      <c r="E815" s="26"/>
      <c r="F815" s="61"/>
      <c r="G815" s="26"/>
    </row>
    <row r="816" spans="1:7" ht="13.5" customHeight="1">
      <c r="A816" s="26"/>
      <c r="B816" s="60"/>
      <c r="C816" s="26"/>
      <c r="D816" s="26"/>
      <c r="E816" s="26"/>
      <c r="F816" s="61"/>
      <c r="G816" s="26"/>
    </row>
    <row r="817" spans="1:7" ht="13.5" customHeight="1">
      <c r="A817" s="26"/>
      <c r="B817" s="60"/>
      <c r="C817" s="26"/>
      <c r="D817" s="26"/>
      <c r="E817" s="26"/>
      <c r="F817" s="61"/>
      <c r="G817" s="26"/>
    </row>
    <row r="818" spans="1:7" ht="13.5" customHeight="1">
      <c r="A818" s="26"/>
      <c r="B818" s="60"/>
      <c r="C818" s="26"/>
      <c r="D818" s="26"/>
      <c r="E818" s="26"/>
      <c r="F818" s="61"/>
      <c r="G818" s="26"/>
    </row>
    <row r="819" spans="1:7" ht="13.5" customHeight="1">
      <c r="A819" s="26"/>
      <c r="B819" s="60"/>
      <c r="C819" s="26"/>
      <c r="D819" s="26"/>
      <c r="E819" s="26"/>
      <c r="F819" s="61"/>
      <c r="G819" s="26"/>
    </row>
    <row r="820" spans="1:7" ht="13.5" customHeight="1">
      <c r="A820" s="26"/>
      <c r="B820" s="60"/>
      <c r="C820" s="26"/>
      <c r="D820" s="26"/>
      <c r="E820" s="26"/>
      <c r="F820" s="61"/>
      <c r="G820" s="26"/>
    </row>
    <row r="821" spans="1:7" ht="13.5" customHeight="1">
      <c r="A821" s="26"/>
      <c r="B821" s="60"/>
      <c r="C821" s="26"/>
      <c r="D821" s="26"/>
      <c r="E821" s="26"/>
      <c r="F821" s="61"/>
      <c r="G821" s="26"/>
    </row>
    <row r="822" spans="1:7" ht="13.5" customHeight="1">
      <c r="A822" s="26"/>
      <c r="B822" s="60"/>
      <c r="C822" s="26"/>
      <c r="D822" s="26"/>
      <c r="E822" s="26"/>
      <c r="F822" s="61"/>
      <c r="G822" s="26"/>
    </row>
    <row r="823" spans="1:7" ht="13.5" customHeight="1">
      <c r="A823" s="26"/>
      <c r="B823" s="60"/>
      <c r="C823" s="26"/>
      <c r="D823" s="26"/>
      <c r="E823" s="26"/>
      <c r="F823" s="61"/>
      <c r="G823" s="26"/>
    </row>
    <row r="824" spans="1:7" ht="13.5" customHeight="1">
      <c r="A824" s="26"/>
      <c r="B824" s="60"/>
      <c r="C824" s="26"/>
      <c r="D824" s="26"/>
      <c r="E824" s="26"/>
      <c r="F824" s="61"/>
      <c r="G824" s="26"/>
    </row>
    <row r="825" spans="1:7" ht="13.5" customHeight="1">
      <c r="A825" s="26"/>
      <c r="B825" s="60"/>
      <c r="C825" s="26"/>
      <c r="D825" s="26"/>
      <c r="E825" s="26"/>
      <c r="F825" s="61"/>
      <c r="G825" s="26"/>
    </row>
    <row r="826" spans="1:7" ht="13.5" customHeight="1">
      <c r="A826" s="26"/>
      <c r="B826" s="60"/>
      <c r="C826" s="26"/>
      <c r="D826" s="26"/>
      <c r="E826" s="26"/>
      <c r="F826" s="61"/>
      <c r="G826" s="26"/>
    </row>
    <row r="827" spans="1:7" ht="13.5" customHeight="1">
      <c r="A827" s="26"/>
      <c r="B827" s="60"/>
      <c r="C827" s="26"/>
      <c r="D827" s="26"/>
      <c r="E827" s="26"/>
      <c r="F827" s="61"/>
      <c r="G827" s="26"/>
    </row>
    <row r="828" spans="1:7" ht="13.5" customHeight="1">
      <c r="A828" s="26"/>
      <c r="B828" s="60"/>
      <c r="C828" s="26"/>
      <c r="D828" s="26"/>
      <c r="E828" s="26"/>
      <c r="F828" s="61"/>
      <c r="G828" s="26"/>
    </row>
    <row r="829" spans="1:7" ht="13.5" customHeight="1">
      <c r="A829" s="26"/>
      <c r="B829" s="60"/>
      <c r="C829" s="26"/>
      <c r="D829" s="26"/>
      <c r="E829" s="26"/>
      <c r="F829" s="61"/>
      <c r="G829" s="26"/>
    </row>
    <row r="830" spans="1:7" ht="13.5" customHeight="1">
      <c r="A830" s="26"/>
      <c r="B830" s="60"/>
      <c r="C830" s="26"/>
      <c r="D830" s="26"/>
      <c r="E830" s="26"/>
      <c r="F830" s="61"/>
      <c r="G830" s="26"/>
    </row>
    <row r="831" spans="1:7" ht="13.5" customHeight="1">
      <c r="A831" s="26"/>
      <c r="B831" s="60"/>
      <c r="C831" s="26"/>
      <c r="D831" s="26"/>
      <c r="E831" s="26"/>
      <c r="F831" s="61"/>
      <c r="G831" s="26"/>
    </row>
    <row r="832" spans="1:7" ht="13.5" customHeight="1">
      <c r="A832" s="26"/>
      <c r="B832" s="60"/>
      <c r="C832" s="26"/>
      <c r="D832" s="26"/>
      <c r="E832" s="26"/>
      <c r="F832" s="61"/>
      <c r="G832" s="26"/>
    </row>
    <row r="833" spans="1:7" ht="13.5" customHeight="1">
      <c r="A833" s="26"/>
      <c r="B833" s="60"/>
      <c r="C833" s="26"/>
      <c r="D833" s="26"/>
      <c r="E833" s="26"/>
      <c r="F833" s="61"/>
      <c r="G833" s="26"/>
    </row>
    <row r="834" spans="1:7" ht="13.5" customHeight="1">
      <c r="A834" s="26"/>
      <c r="B834" s="60"/>
      <c r="C834" s="26"/>
      <c r="D834" s="26"/>
      <c r="E834" s="26"/>
      <c r="F834" s="61"/>
      <c r="G834" s="26"/>
    </row>
    <row r="835" spans="1:7" ht="13.5" customHeight="1">
      <c r="A835" s="26"/>
      <c r="B835" s="60"/>
      <c r="C835" s="26"/>
      <c r="D835" s="26"/>
      <c r="E835" s="26"/>
      <c r="F835" s="61"/>
      <c r="G835" s="26"/>
    </row>
    <row r="836" spans="1:7" ht="13.5" customHeight="1">
      <c r="A836" s="26"/>
      <c r="B836" s="60"/>
      <c r="C836" s="26"/>
      <c r="D836" s="26"/>
      <c r="E836" s="26"/>
      <c r="F836" s="61"/>
      <c r="G836" s="26"/>
    </row>
    <row r="837" spans="1:7" ht="13.5" customHeight="1">
      <c r="A837" s="26"/>
      <c r="B837" s="60"/>
      <c r="C837" s="26"/>
      <c r="D837" s="26"/>
      <c r="E837" s="26"/>
      <c r="F837" s="61"/>
      <c r="G837" s="26"/>
    </row>
    <row r="838" spans="1:7" ht="13.5" customHeight="1">
      <c r="A838" s="26"/>
      <c r="B838" s="60"/>
      <c r="C838" s="26"/>
      <c r="D838" s="26"/>
      <c r="E838" s="26"/>
      <c r="F838" s="61"/>
      <c r="G838" s="26"/>
    </row>
    <row r="839" spans="1:7" ht="13.5" customHeight="1">
      <c r="A839" s="26"/>
      <c r="B839" s="60"/>
      <c r="C839" s="26"/>
      <c r="D839" s="26"/>
      <c r="E839" s="26"/>
      <c r="F839" s="61"/>
      <c r="G839" s="26"/>
    </row>
    <row r="840" spans="1:7" ht="13.5" customHeight="1">
      <c r="A840" s="26"/>
      <c r="B840" s="60"/>
      <c r="C840" s="26"/>
      <c r="D840" s="26"/>
      <c r="E840" s="26"/>
      <c r="F840" s="61"/>
      <c r="G840" s="26"/>
    </row>
    <row r="841" spans="1:7" ht="13.5" customHeight="1">
      <c r="A841" s="26"/>
      <c r="B841" s="60"/>
      <c r="C841" s="26"/>
      <c r="D841" s="26"/>
      <c r="E841" s="26"/>
      <c r="F841" s="61"/>
      <c r="G841" s="26"/>
    </row>
    <row r="842" spans="1:7" ht="13.5" customHeight="1">
      <c r="A842" s="26"/>
      <c r="B842" s="60"/>
      <c r="C842" s="26"/>
      <c r="D842" s="26"/>
      <c r="E842" s="26"/>
      <c r="F842" s="61"/>
      <c r="G842" s="26"/>
    </row>
    <row r="843" spans="1:7" ht="13.5" customHeight="1">
      <c r="A843" s="26"/>
      <c r="B843" s="60"/>
      <c r="C843" s="26"/>
      <c r="D843" s="26"/>
      <c r="E843" s="26"/>
      <c r="F843" s="61"/>
      <c r="G843" s="26"/>
    </row>
    <row r="844" spans="1:7" ht="13.5" customHeight="1">
      <c r="A844" s="26"/>
      <c r="B844" s="60"/>
      <c r="C844" s="26"/>
      <c r="D844" s="26"/>
      <c r="E844" s="26"/>
      <c r="F844" s="61"/>
      <c r="G844" s="26"/>
    </row>
    <row r="845" spans="1:7" ht="13.5" customHeight="1">
      <c r="A845" s="26"/>
      <c r="B845" s="60"/>
      <c r="C845" s="26"/>
      <c r="D845" s="26"/>
      <c r="E845" s="26"/>
      <c r="F845" s="61"/>
      <c r="G845" s="26"/>
    </row>
    <row r="846" spans="1:7" ht="13.5" customHeight="1">
      <c r="A846" s="26"/>
      <c r="B846" s="60"/>
      <c r="C846" s="26"/>
      <c r="D846" s="26"/>
      <c r="E846" s="26"/>
      <c r="F846" s="61"/>
      <c r="G846" s="26"/>
    </row>
    <row r="847" spans="1:7" ht="13.5" customHeight="1">
      <c r="A847" s="26"/>
      <c r="B847" s="60"/>
      <c r="C847" s="26"/>
      <c r="D847" s="26"/>
      <c r="E847" s="26"/>
      <c r="F847" s="61"/>
      <c r="G847" s="26"/>
    </row>
    <row r="848" spans="1:7" ht="13.5" customHeight="1">
      <c r="A848" s="26"/>
      <c r="B848" s="60"/>
      <c r="C848" s="26"/>
      <c r="D848" s="26"/>
      <c r="E848" s="26"/>
      <c r="F848" s="61"/>
      <c r="G848" s="26"/>
    </row>
    <row r="849" spans="1:7" ht="13.5" customHeight="1">
      <c r="A849" s="26"/>
      <c r="B849" s="60"/>
      <c r="C849" s="26"/>
      <c r="D849" s="26"/>
      <c r="E849" s="26"/>
      <c r="F849" s="61"/>
      <c r="G849" s="26"/>
    </row>
    <row r="850" spans="1:7" ht="13.5" customHeight="1">
      <c r="A850" s="26"/>
      <c r="B850" s="60"/>
      <c r="C850" s="26"/>
      <c r="D850" s="26"/>
      <c r="E850" s="26"/>
      <c r="F850" s="61"/>
      <c r="G850" s="26"/>
    </row>
    <row r="851" spans="1:7" ht="13.5" customHeight="1">
      <c r="A851" s="26"/>
      <c r="B851" s="60"/>
      <c r="C851" s="26"/>
      <c r="D851" s="26"/>
      <c r="E851" s="26"/>
      <c r="F851" s="61"/>
      <c r="G851" s="26"/>
    </row>
    <row r="852" spans="1:7" ht="13.5" customHeight="1">
      <c r="A852" s="26"/>
      <c r="B852" s="60"/>
      <c r="C852" s="26"/>
      <c r="D852" s="26"/>
      <c r="E852" s="26"/>
      <c r="F852" s="61"/>
      <c r="G852" s="26"/>
    </row>
    <row r="853" spans="1:7" ht="13.5" customHeight="1">
      <c r="A853" s="26"/>
      <c r="B853" s="60"/>
      <c r="C853" s="26"/>
      <c r="D853" s="26"/>
      <c r="E853" s="26"/>
      <c r="F853" s="61"/>
      <c r="G853" s="26"/>
    </row>
    <row r="854" spans="1:7" ht="13.5" customHeight="1">
      <c r="A854" s="26"/>
      <c r="B854" s="60"/>
      <c r="C854" s="26"/>
      <c r="D854" s="26"/>
      <c r="E854" s="26"/>
      <c r="F854" s="61"/>
      <c r="G854" s="26"/>
    </row>
    <row r="855" spans="1:7" ht="13.5" customHeight="1">
      <c r="A855" s="26"/>
      <c r="B855" s="60"/>
      <c r="C855" s="26"/>
      <c r="D855" s="26"/>
      <c r="E855" s="26"/>
      <c r="F855" s="61"/>
      <c r="G855" s="26"/>
    </row>
    <row r="856" spans="1:7" ht="13.5" customHeight="1">
      <c r="A856" s="26"/>
      <c r="B856" s="60"/>
      <c r="C856" s="26"/>
      <c r="D856" s="26"/>
      <c r="E856" s="26"/>
      <c r="F856" s="61"/>
      <c r="G856" s="26"/>
    </row>
    <row r="857" spans="1:7" ht="13.5" customHeight="1">
      <c r="A857" s="26"/>
      <c r="B857" s="60"/>
      <c r="C857" s="26"/>
      <c r="D857" s="26"/>
      <c r="E857" s="26"/>
      <c r="F857" s="61"/>
      <c r="G857" s="26"/>
    </row>
    <row r="858" spans="1:7" ht="13.5" customHeight="1">
      <c r="A858" s="26"/>
      <c r="B858" s="60"/>
      <c r="C858" s="26"/>
      <c r="D858" s="26"/>
      <c r="E858" s="26"/>
      <c r="F858" s="61"/>
      <c r="G858" s="26"/>
    </row>
    <row r="859" spans="1:7" ht="13.5" customHeight="1">
      <c r="A859" s="26"/>
      <c r="B859" s="60"/>
      <c r="C859" s="26"/>
      <c r="D859" s="26"/>
      <c r="E859" s="26"/>
      <c r="F859" s="61"/>
      <c r="G859" s="26"/>
    </row>
    <row r="860" spans="1:7" ht="13.5" customHeight="1">
      <c r="A860" s="26"/>
      <c r="B860" s="60"/>
      <c r="C860" s="26"/>
      <c r="D860" s="26"/>
      <c r="E860" s="26"/>
      <c r="F860" s="61"/>
      <c r="G860" s="26"/>
    </row>
    <row r="861" spans="1:7" ht="13.5" customHeight="1">
      <c r="A861" s="26"/>
      <c r="B861" s="60"/>
      <c r="C861" s="26"/>
      <c r="D861" s="26"/>
      <c r="E861" s="26"/>
      <c r="F861" s="61"/>
      <c r="G861" s="26"/>
    </row>
    <row r="862" spans="1:7" ht="13.5" customHeight="1">
      <c r="A862" s="26"/>
      <c r="B862" s="60"/>
      <c r="C862" s="26"/>
      <c r="D862" s="26"/>
      <c r="E862" s="26"/>
      <c r="F862" s="61"/>
      <c r="G862" s="26"/>
    </row>
    <row r="863" spans="1:7" ht="13.5" customHeight="1">
      <c r="A863" s="26"/>
      <c r="B863" s="60"/>
      <c r="C863" s="26"/>
      <c r="D863" s="26"/>
      <c r="E863" s="26"/>
      <c r="F863" s="61"/>
      <c r="G863" s="26"/>
    </row>
    <row r="864" spans="1:7" ht="13.5" customHeight="1">
      <c r="A864" s="26"/>
      <c r="B864" s="60"/>
      <c r="C864" s="26"/>
      <c r="D864" s="26"/>
      <c r="E864" s="26"/>
      <c r="F864" s="61"/>
      <c r="G864" s="26"/>
    </row>
    <row r="865" spans="1:7" ht="13.5" customHeight="1">
      <c r="A865" s="26"/>
      <c r="B865" s="60"/>
      <c r="C865" s="26"/>
      <c r="D865" s="26"/>
      <c r="E865" s="26"/>
      <c r="F865" s="61"/>
      <c r="G865" s="26"/>
    </row>
    <row r="866" spans="1:7" ht="13.5" customHeight="1">
      <c r="A866" s="26"/>
      <c r="B866" s="60"/>
      <c r="C866" s="26"/>
      <c r="D866" s="26"/>
      <c r="E866" s="26"/>
      <c r="F866" s="61"/>
      <c r="G866" s="26"/>
    </row>
    <row r="867" spans="1:7" ht="13.5" customHeight="1">
      <c r="A867" s="26"/>
      <c r="B867" s="60"/>
      <c r="C867" s="26"/>
      <c r="D867" s="26"/>
      <c r="E867" s="26"/>
      <c r="F867" s="61"/>
      <c r="G867" s="26"/>
    </row>
    <row r="868" spans="1:7" ht="13.5" customHeight="1">
      <c r="A868" s="26"/>
      <c r="B868" s="60"/>
      <c r="C868" s="26"/>
      <c r="D868" s="26"/>
      <c r="E868" s="26"/>
      <c r="F868" s="61"/>
      <c r="G868" s="26"/>
    </row>
    <row r="869" spans="1:7" ht="13.5" customHeight="1">
      <c r="A869" s="26"/>
      <c r="B869" s="60"/>
      <c r="C869" s="26"/>
      <c r="D869" s="26"/>
      <c r="E869" s="26"/>
      <c r="F869" s="61"/>
      <c r="G869" s="26"/>
    </row>
    <row r="870" spans="1:7" ht="13.5" customHeight="1">
      <c r="A870" s="26"/>
      <c r="B870" s="60"/>
      <c r="C870" s="26"/>
      <c r="D870" s="26"/>
      <c r="E870" s="26"/>
      <c r="F870" s="61"/>
      <c r="G870" s="26"/>
    </row>
    <row r="871" spans="1:7" ht="13.5" customHeight="1">
      <c r="A871" s="26"/>
      <c r="B871" s="60"/>
      <c r="C871" s="26"/>
      <c r="D871" s="26"/>
      <c r="E871" s="26"/>
      <c r="F871" s="61"/>
      <c r="G871" s="26"/>
    </row>
    <row r="872" spans="1:7" ht="13.5" customHeight="1">
      <c r="A872" s="26"/>
      <c r="B872" s="60"/>
      <c r="C872" s="26"/>
      <c r="D872" s="26"/>
      <c r="E872" s="26"/>
      <c r="F872" s="61"/>
      <c r="G872" s="26"/>
    </row>
    <row r="873" spans="1:7" ht="13.5" customHeight="1">
      <c r="A873" s="26"/>
      <c r="B873" s="60"/>
      <c r="C873" s="26"/>
      <c r="D873" s="26"/>
      <c r="E873" s="26"/>
      <c r="F873" s="61"/>
      <c r="G873" s="26"/>
    </row>
    <row r="874" spans="1:7" ht="13.5" customHeight="1">
      <c r="A874" s="26"/>
      <c r="B874" s="60"/>
      <c r="C874" s="26"/>
      <c r="D874" s="26"/>
      <c r="E874" s="26"/>
      <c r="F874" s="61"/>
      <c r="G874" s="26"/>
    </row>
    <row r="875" spans="1:7" ht="13.5" customHeight="1">
      <c r="A875" s="26"/>
      <c r="B875" s="60"/>
      <c r="C875" s="26"/>
      <c r="D875" s="26"/>
      <c r="E875" s="26"/>
      <c r="F875" s="61"/>
      <c r="G875" s="26"/>
    </row>
    <row r="876" spans="1:7" ht="13.5" customHeight="1">
      <c r="A876" s="26"/>
      <c r="B876" s="60"/>
      <c r="C876" s="26"/>
      <c r="D876" s="26"/>
      <c r="E876" s="26"/>
      <c r="F876" s="61"/>
      <c r="G876" s="26"/>
    </row>
    <row r="877" spans="1:7" ht="13.5" customHeight="1">
      <c r="A877" s="26"/>
      <c r="B877" s="60"/>
      <c r="C877" s="26"/>
      <c r="D877" s="26"/>
      <c r="E877" s="26"/>
      <c r="F877" s="61"/>
      <c r="G877" s="26"/>
    </row>
    <row r="878" spans="1:7" ht="13.5" customHeight="1">
      <c r="A878" s="26"/>
      <c r="B878" s="60"/>
      <c r="C878" s="26"/>
      <c r="D878" s="26"/>
      <c r="E878" s="26"/>
      <c r="F878" s="61"/>
      <c r="G878" s="26"/>
    </row>
    <row r="879" spans="1:7" ht="13.5" customHeight="1">
      <c r="A879" s="26"/>
      <c r="B879" s="60"/>
      <c r="C879" s="26"/>
      <c r="D879" s="26"/>
      <c r="E879" s="26"/>
      <c r="F879" s="61"/>
      <c r="G879" s="26"/>
    </row>
    <row r="880" spans="1:7" ht="13.5" customHeight="1">
      <c r="A880" s="26"/>
      <c r="B880" s="60"/>
      <c r="C880" s="26"/>
      <c r="D880" s="26"/>
      <c r="E880" s="26"/>
      <c r="F880" s="61"/>
      <c r="G880" s="26"/>
    </row>
    <row r="881" spans="1:7" ht="13.5" customHeight="1">
      <c r="A881" s="26"/>
      <c r="B881" s="60"/>
      <c r="C881" s="26"/>
      <c r="D881" s="26"/>
      <c r="E881" s="26"/>
      <c r="F881" s="61"/>
      <c r="G881" s="26"/>
    </row>
    <row r="882" spans="1:7" ht="13.5" customHeight="1">
      <c r="A882" s="26"/>
      <c r="B882" s="60"/>
      <c r="C882" s="26"/>
      <c r="D882" s="26"/>
      <c r="E882" s="26"/>
      <c r="F882" s="61"/>
      <c r="G882" s="26"/>
    </row>
    <row r="883" spans="1:7" ht="13.5" customHeight="1">
      <c r="A883" s="26"/>
      <c r="B883" s="60"/>
      <c r="C883" s="26"/>
      <c r="D883" s="26"/>
      <c r="E883" s="26"/>
      <c r="F883" s="61"/>
      <c r="G883" s="26"/>
    </row>
    <row r="884" spans="1:7" ht="13.5" customHeight="1">
      <c r="A884" s="26"/>
      <c r="B884" s="60"/>
      <c r="C884" s="26"/>
      <c r="D884" s="26"/>
      <c r="E884" s="26"/>
      <c r="F884" s="61"/>
      <c r="G884" s="26"/>
    </row>
    <row r="885" spans="1:7" ht="13.5" customHeight="1">
      <c r="A885" s="26"/>
      <c r="B885" s="60"/>
      <c r="C885" s="26"/>
      <c r="D885" s="26"/>
      <c r="E885" s="26"/>
      <c r="F885" s="61"/>
      <c r="G885" s="26"/>
    </row>
    <row r="886" spans="1:7" ht="13.5" customHeight="1">
      <c r="A886" s="26"/>
      <c r="B886" s="60"/>
      <c r="C886" s="26"/>
      <c r="D886" s="26"/>
      <c r="E886" s="26"/>
      <c r="F886" s="61"/>
      <c r="G886" s="26"/>
    </row>
    <row r="887" spans="1:7" ht="13.5" customHeight="1">
      <c r="A887" s="26"/>
      <c r="B887" s="60"/>
      <c r="C887" s="26"/>
      <c r="D887" s="26"/>
      <c r="E887" s="26"/>
      <c r="F887" s="61"/>
      <c r="G887" s="26"/>
    </row>
    <row r="888" spans="1:7" ht="13.5" customHeight="1">
      <c r="A888" s="26"/>
      <c r="B888" s="60"/>
      <c r="C888" s="26"/>
      <c r="D888" s="26"/>
      <c r="E888" s="26"/>
      <c r="F888" s="61"/>
      <c r="G888" s="26"/>
    </row>
    <row r="889" spans="1:7" ht="13.5" customHeight="1">
      <c r="A889" s="26"/>
      <c r="B889" s="60"/>
      <c r="C889" s="26"/>
      <c r="D889" s="26"/>
      <c r="E889" s="26"/>
      <c r="F889" s="61"/>
      <c r="G889" s="26"/>
    </row>
    <row r="890" spans="1:7" ht="13.5" customHeight="1">
      <c r="A890" s="26"/>
      <c r="B890" s="60"/>
      <c r="C890" s="26"/>
      <c r="D890" s="26"/>
      <c r="E890" s="26"/>
      <c r="F890" s="61"/>
      <c r="G890" s="26"/>
    </row>
    <row r="891" spans="1:7" ht="13.5" customHeight="1">
      <c r="A891" s="26"/>
      <c r="B891" s="60"/>
      <c r="C891" s="26"/>
      <c r="D891" s="26"/>
      <c r="E891" s="26"/>
      <c r="F891" s="61"/>
      <c r="G891" s="26"/>
    </row>
    <row r="892" spans="1:7" ht="13.5" customHeight="1">
      <c r="A892" s="26"/>
      <c r="B892" s="60"/>
      <c r="C892" s="26"/>
      <c r="D892" s="26"/>
      <c r="E892" s="26"/>
      <c r="F892" s="61"/>
      <c r="G892" s="26"/>
    </row>
    <row r="893" spans="1:7" ht="13.5" customHeight="1">
      <c r="A893" s="26"/>
      <c r="B893" s="60"/>
      <c r="C893" s="26"/>
      <c r="D893" s="26"/>
      <c r="E893" s="26"/>
      <c r="F893" s="61"/>
      <c r="G893" s="26"/>
    </row>
    <row r="894" spans="1:7" ht="13.5" customHeight="1">
      <c r="A894" s="26"/>
      <c r="B894" s="60"/>
      <c r="C894" s="26"/>
      <c r="D894" s="26"/>
      <c r="E894" s="26"/>
      <c r="F894" s="61"/>
      <c r="G894" s="26"/>
    </row>
    <row r="895" spans="1:7" ht="13.5" customHeight="1">
      <c r="A895" s="26"/>
      <c r="B895" s="60"/>
      <c r="C895" s="26"/>
      <c r="D895" s="26"/>
      <c r="E895" s="26"/>
      <c r="F895" s="61"/>
      <c r="G895" s="26"/>
    </row>
    <row r="896" spans="1:7" ht="13.5" customHeight="1">
      <c r="A896" s="26"/>
      <c r="B896" s="60"/>
      <c r="C896" s="26"/>
      <c r="D896" s="26"/>
      <c r="E896" s="26"/>
      <c r="F896" s="61"/>
      <c r="G896" s="26"/>
    </row>
    <row r="897" spans="1:7" ht="13.5" customHeight="1">
      <c r="A897" s="26"/>
      <c r="B897" s="60"/>
      <c r="C897" s="26"/>
      <c r="D897" s="26"/>
      <c r="E897" s="26"/>
      <c r="F897" s="61"/>
      <c r="G897" s="26"/>
    </row>
    <row r="898" spans="1:7" ht="13.5" customHeight="1">
      <c r="A898" s="26"/>
      <c r="B898" s="60"/>
      <c r="C898" s="26"/>
      <c r="D898" s="26"/>
      <c r="E898" s="26"/>
      <c r="F898" s="61"/>
      <c r="G898" s="26"/>
    </row>
    <row r="899" spans="1:7" ht="13.5" customHeight="1">
      <c r="A899" s="26"/>
      <c r="B899" s="60"/>
      <c r="C899" s="26"/>
      <c r="D899" s="26"/>
      <c r="E899" s="26"/>
      <c r="F899" s="61"/>
      <c r="G899" s="26"/>
    </row>
    <row r="900" spans="1:7" ht="13.5" customHeight="1">
      <c r="A900" s="26"/>
      <c r="B900" s="60"/>
      <c r="C900" s="26"/>
      <c r="D900" s="26"/>
      <c r="E900" s="26"/>
      <c r="F900" s="61"/>
      <c r="G900" s="26"/>
    </row>
    <row r="901" spans="1:7" ht="13.5" customHeight="1">
      <c r="A901" s="26"/>
      <c r="B901" s="60"/>
      <c r="C901" s="26"/>
      <c r="D901" s="26"/>
      <c r="E901" s="26"/>
      <c r="F901" s="61"/>
      <c r="G901" s="26"/>
    </row>
    <row r="902" spans="1:7" ht="13.5" customHeight="1">
      <c r="A902" s="26"/>
      <c r="B902" s="60"/>
      <c r="C902" s="26"/>
      <c r="D902" s="26"/>
      <c r="E902" s="26"/>
      <c r="F902" s="61"/>
      <c r="G902" s="26"/>
    </row>
    <row r="903" spans="1:7" ht="13.5" customHeight="1">
      <c r="A903" s="26"/>
      <c r="B903" s="60"/>
      <c r="C903" s="26"/>
      <c r="D903" s="26"/>
      <c r="E903" s="26"/>
      <c r="F903" s="61"/>
      <c r="G903" s="26"/>
    </row>
    <row r="904" spans="1:7" ht="13.5" customHeight="1">
      <c r="A904" s="26"/>
      <c r="B904" s="60"/>
      <c r="C904" s="26"/>
      <c r="D904" s="26"/>
      <c r="E904" s="26"/>
      <c r="F904" s="61"/>
      <c r="G904" s="26"/>
    </row>
    <row r="905" spans="1:7" ht="13.5" customHeight="1">
      <c r="A905" s="26"/>
      <c r="B905" s="60"/>
      <c r="C905" s="26"/>
      <c r="D905" s="26"/>
      <c r="E905" s="26"/>
      <c r="F905" s="61"/>
      <c r="G905" s="26"/>
    </row>
    <row r="906" spans="1:7" ht="13.5" customHeight="1">
      <c r="A906" s="26"/>
      <c r="B906" s="60"/>
      <c r="C906" s="26"/>
      <c r="D906" s="26"/>
      <c r="E906" s="26"/>
      <c r="F906" s="61"/>
      <c r="G906" s="26"/>
    </row>
    <row r="907" spans="1:7" ht="13.5" customHeight="1">
      <c r="A907" s="26"/>
      <c r="B907" s="60"/>
      <c r="C907" s="26"/>
      <c r="D907" s="26"/>
      <c r="E907" s="26"/>
      <c r="F907" s="61"/>
      <c r="G907" s="26"/>
    </row>
    <row r="908" spans="1:7" ht="13.5" customHeight="1">
      <c r="A908" s="26"/>
      <c r="B908" s="60"/>
      <c r="C908" s="26"/>
      <c r="D908" s="26"/>
      <c r="E908" s="26"/>
      <c r="F908" s="61"/>
      <c r="G908" s="26"/>
    </row>
    <row r="909" spans="1:7" ht="13.5" customHeight="1">
      <c r="A909" s="26"/>
      <c r="B909" s="60"/>
      <c r="C909" s="26"/>
      <c r="D909" s="26"/>
      <c r="E909" s="26"/>
      <c r="F909" s="61"/>
      <c r="G909" s="26"/>
    </row>
    <row r="910" spans="1:7" ht="13.5" customHeight="1">
      <c r="A910" s="26"/>
      <c r="B910" s="60"/>
      <c r="C910" s="26"/>
      <c r="D910" s="26"/>
      <c r="E910" s="26"/>
      <c r="F910" s="61"/>
      <c r="G910" s="26"/>
    </row>
    <row r="911" spans="1:7" ht="13.5" customHeight="1">
      <c r="A911" s="26"/>
      <c r="B911" s="60"/>
      <c r="C911" s="26"/>
      <c r="D911" s="26"/>
      <c r="E911" s="26"/>
      <c r="F911" s="61"/>
      <c r="G911" s="26"/>
    </row>
    <row r="912" spans="1:7" ht="13.5" customHeight="1">
      <c r="A912" s="26"/>
      <c r="B912" s="60"/>
      <c r="C912" s="26"/>
      <c r="D912" s="26"/>
      <c r="E912" s="26"/>
      <c r="F912" s="61"/>
      <c r="G912" s="26"/>
    </row>
    <row r="913" spans="1:7" ht="13.5" customHeight="1">
      <c r="A913" s="26"/>
      <c r="B913" s="60"/>
      <c r="C913" s="26"/>
      <c r="D913" s="26"/>
      <c r="E913" s="26"/>
      <c r="F913" s="61"/>
      <c r="G913" s="26"/>
    </row>
    <row r="914" spans="1:7" ht="13.5" customHeight="1">
      <c r="A914" s="26"/>
      <c r="B914" s="60"/>
      <c r="C914" s="26"/>
      <c r="D914" s="26"/>
      <c r="E914" s="26"/>
      <c r="F914" s="61"/>
      <c r="G914" s="26"/>
    </row>
    <row r="915" spans="1:7" ht="13.5" customHeight="1">
      <c r="A915" s="26"/>
      <c r="B915" s="60"/>
      <c r="C915" s="26"/>
      <c r="D915" s="26"/>
      <c r="E915" s="26"/>
      <c r="F915" s="61"/>
      <c r="G915" s="26"/>
    </row>
    <row r="916" spans="1:7" ht="13.5" customHeight="1">
      <c r="A916" s="26"/>
      <c r="B916" s="60"/>
      <c r="C916" s="26"/>
      <c r="D916" s="26"/>
      <c r="E916" s="26"/>
      <c r="F916" s="61"/>
      <c r="G916" s="26"/>
    </row>
    <row r="917" spans="1:7" ht="13.5" customHeight="1">
      <c r="A917" s="26"/>
      <c r="B917" s="60"/>
      <c r="C917" s="26"/>
      <c r="D917" s="26"/>
      <c r="E917" s="26"/>
      <c r="F917" s="61"/>
      <c r="G917" s="26"/>
    </row>
    <row r="918" spans="1:7" ht="13.5" customHeight="1">
      <c r="A918" s="26"/>
      <c r="B918" s="60"/>
      <c r="C918" s="26"/>
      <c r="D918" s="26"/>
      <c r="E918" s="26"/>
      <c r="F918" s="61"/>
      <c r="G918" s="26"/>
    </row>
    <row r="919" spans="1:7" ht="13.5" customHeight="1">
      <c r="A919" s="26"/>
      <c r="B919" s="60"/>
      <c r="C919" s="26"/>
      <c r="D919" s="26"/>
      <c r="E919" s="26"/>
      <c r="F919" s="61"/>
      <c r="G919" s="26"/>
    </row>
    <row r="920" spans="1:7" ht="13.5" customHeight="1">
      <c r="A920" s="26"/>
      <c r="B920" s="60"/>
      <c r="C920" s="26"/>
      <c r="D920" s="26"/>
      <c r="E920" s="26"/>
      <c r="F920" s="61"/>
      <c r="G920" s="26"/>
    </row>
    <row r="921" spans="1:7" ht="13.5" customHeight="1">
      <c r="A921" s="26"/>
      <c r="B921" s="60"/>
      <c r="C921" s="26"/>
      <c r="D921" s="26"/>
      <c r="E921" s="26"/>
      <c r="F921" s="61"/>
      <c r="G921" s="26"/>
    </row>
    <row r="922" spans="1:7" ht="13.5" customHeight="1">
      <c r="A922" s="26"/>
      <c r="B922" s="60"/>
      <c r="C922" s="26"/>
      <c r="D922" s="26"/>
      <c r="E922" s="26"/>
      <c r="F922" s="61"/>
      <c r="G922" s="26"/>
    </row>
    <row r="923" spans="1:7" ht="13.5" customHeight="1">
      <c r="A923" s="26"/>
      <c r="B923" s="60"/>
      <c r="C923" s="26"/>
      <c r="D923" s="26"/>
      <c r="E923" s="26"/>
      <c r="F923" s="61"/>
      <c r="G923" s="26"/>
    </row>
    <row r="924" spans="1:7" ht="13.5" customHeight="1">
      <c r="A924" s="26"/>
      <c r="B924" s="60"/>
      <c r="C924" s="26"/>
      <c r="D924" s="26"/>
      <c r="E924" s="26"/>
      <c r="F924" s="61"/>
      <c r="G924" s="26"/>
    </row>
    <row r="925" spans="1:7" ht="13.5" customHeight="1">
      <c r="A925" s="26"/>
      <c r="B925" s="60"/>
      <c r="C925" s="26"/>
      <c r="D925" s="26"/>
      <c r="E925" s="26"/>
      <c r="F925" s="61"/>
      <c r="G925" s="26"/>
    </row>
    <row r="926" spans="1:7" ht="13.5" customHeight="1">
      <c r="A926" s="26"/>
      <c r="B926" s="60"/>
      <c r="C926" s="26"/>
      <c r="D926" s="26"/>
      <c r="E926" s="26"/>
      <c r="F926" s="61"/>
      <c r="G926" s="26"/>
    </row>
    <row r="927" spans="1:7" ht="13.5" customHeight="1">
      <c r="A927" s="26"/>
      <c r="B927" s="60"/>
      <c r="C927" s="26"/>
      <c r="D927" s="26"/>
      <c r="E927" s="26"/>
      <c r="F927" s="61"/>
      <c r="G927" s="26"/>
    </row>
    <row r="928" spans="1:7" ht="13.5" customHeight="1">
      <c r="A928" s="26"/>
      <c r="B928" s="60"/>
      <c r="C928" s="26"/>
      <c r="D928" s="26"/>
      <c r="E928" s="26"/>
      <c r="F928" s="61"/>
      <c r="G928" s="26"/>
    </row>
    <row r="929" spans="1:7" ht="13.5" customHeight="1">
      <c r="A929" s="26"/>
      <c r="B929" s="60"/>
      <c r="C929" s="26"/>
      <c r="D929" s="26"/>
      <c r="E929" s="26"/>
      <c r="F929" s="61"/>
      <c r="G929" s="26"/>
    </row>
    <row r="930" spans="1:7" ht="13.5" customHeight="1">
      <c r="A930" s="26"/>
      <c r="B930" s="60"/>
      <c r="C930" s="26"/>
      <c r="D930" s="26"/>
      <c r="E930" s="26"/>
      <c r="F930" s="61"/>
      <c r="G930" s="26"/>
    </row>
    <row r="931" spans="1:7" ht="13.5" customHeight="1">
      <c r="A931" s="26"/>
      <c r="B931" s="60"/>
      <c r="C931" s="26"/>
      <c r="D931" s="26"/>
      <c r="E931" s="26"/>
      <c r="F931" s="61"/>
      <c r="G931" s="26"/>
    </row>
    <row r="932" spans="1:7" ht="13.5" customHeight="1">
      <c r="A932" s="26"/>
      <c r="B932" s="60"/>
      <c r="C932" s="26"/>
      <c r="D932" s="26"/>
      <c r="E932" s="26"/>
      <c r="F932" s="61"/>
      <c r="G932" s="26"/>
    </row>
    <row r="933" spans="1:7" ht="13.5" customHeight="1">
      <c r="A933" s="26"/>
      <c r="B933" s="60"/>
      <c r="C933" s="26"/>
      <c r="D933" s="26"/>
      <c r="E933" s="26"/>
      <c r="F933" s="61"/>
      <c r="G933" s="26"/>
    </row>
    <row r="934" spans="1:7" ht="13.5" customHeight="1">
      <c r="A934" s="26"/>
      <c r="B934" s="60"/>
      <c r="C934" s="26"/>
      <c r="D934" s="26"/>
      <c r="E934" s="26"/>
      <c r="F934" s="61"/>
      <c r="G934" s="26"/>
    </row>
    <row r="935" spans="1:7" ht="13.5" customHeight="1">
      <c r="A935" s="26"/>
      <c r="B935" s="60"/>
      <c r="C935" s="26"/>
      <c r="D935" s="26"/>
      <c r="E935" s="26"/>
      <c r="F935" s="61"/>
      <c r="G935" s="26"/>
    </row>
    <row r="936" spans="1:7" ht="13.5" customHeight="1">
      <c r="A936" s="26"/>
      <c r="B936" s="60"/>
      <c r="C936" s="26"/>
      <c r="D936" s="26"/>
      <c r="E936" s="26"/>
      <c r="F936" s="61"/>
      <c r="G936" s="26"/>
    </row>
    <row r="937" spans="1:7" ht="13.5" customHeight="1">
      <c r="A937" s="26"/>
      <c r="B937" s="60"/>
      <c r="C937" s="26"/>
      <c r="D937" s="26"/>
      <c r="E937" s="26"/>
      <c r="F937" s="61"/>
      <c r="G937" s="26"/>
    </row>
    <row r="938" spans="1:7" ht="13.5" customHeight="1">
      <c r="A938" s="26"/>
      <c r="B938" s="60"/>
      <c r="C938" s="26"/>
      <c r="D938" s="26"/>
      <c r="E938" s="26"/>
      <c r="F938" s="61"/>
      <c r="G938" s="26"/>
    </row>
    <row r="939" spans="1:7" ht="13.5" customHeight="1">
      <c r="A939" s="26"/>
      <c r="B939" s="60"/>
      <c r="C939" s="26"/>
      <c r="D939" s="26"/>
      <c r="E939" s="26"/>
      <c r="F939" s="61"/>
      <c r="G939" s="26"/>
    </row>
    <row r="940" spans="1:7" ht="13.5" customHeight="1">
      <c r="A940" s="26"/>
      <c r="B940" s="60"/>
      <c r="C940" s="26"/>
      <c r="D940" s="26"/>
      <c r="E940" s="26"/>
      <c r="F940" s="61"/>
      <c r="G940" s="26"/>
    </row>
    <row r="941" spans="1:7" ht="13.5" customHeight="1">
      <c r="A941" s="26"/>
      <c r="B941" s="60"/>
      <c r="C941" s="26"/>
      <c r="D941" s="26"/>
      <c r="E941" s="26"/>
      <c r="F941" s="61"/>
      <c r="G941" s="26"/>
    </row>
    <row r="942" spans="1:7" ht="13.5" customHeight="1">
      <c r="A942" s="26"/>
      <c r="B942" s="60"/>
      <c r="C942" s="26"/>
      <c r="D942" s="26"/>
      <c r="E942" s="26"/>
      <c r="F942" s="61"/>
      <c r="G942" s="26"/>
    </row>
    <row r="943" spans="1:7" ht="13.5" customHeight="1">
      <c r="A943" s="26"/>
      <c r="B943" s="60"/>
      <c r="C943" s="26"/>
      <c r="D943" s="26"/>
      <c r="E943" s="26"/>
      <c r="F943" s="61"/>
      <c r="G943" s="26"/>
    </row>
    <row r="944" spans="1:7" ht="13.5" customHeight="1">
      <c r="A944" s="26"/>
      <c r="B944" s="60"/>
      <c r="C944" s="26"/>
      <c r="D944" s="26"/>
      <c r="E944" s="26"/>
      <c r="F944" s="61"/>
      <c r="G944" s="26"/>
    </row>
    <row r="945" spans="1:7" ht="13.5" customHeight="1">
      <c r="A945" s="26"/>
      <c r="B945" s="60"/>
      <c r="C945" s="26"/>
      <c r="D945" s="26"/>
      <c r="E945" s="26"/>
      <c r="F945" s="61"/>
      <c r="G945" s="26"/>
    </row>
    <row r="946" spans="1:7" ht="13.5" customHeight="1">
      <c r="A946" s="26"/>
      <c r="B946" s="60"/>
      <c r="C946" s="26"/>
      <c r="D946" s="26"/>
      <c r="E946" s="26"/>
      <c r="F946" s="61"/>
      <c r="G946" s="26"/>
    </row>
    <row r="947" spans="1:7" ht="13.5" customHeight="1">
      <c r="A947" s="26"/>
      <c r="B947" s="60"/>
      <c r="C947" s="26"/>
      <c r="D947" s="26"/>
      <c r="E947" s="26"/>
      <c r="F947" s="61"/>
      <c r="G947" s="26"/>
    </row>
    <row r="948" spans="1:7" ht="13.5" customHeight="1">
      <c r="A948" s="26"/>
      <c r="B948" s="60"/>
      <c r="C948" s="26"/>
      <c r="D948" s="26"/>
      <c r="E948" s="26"/>
      <c r="F948" s="61"/>
      <c r="G948" s="26"/>
    </row>
    <row r="949" spans="1:7" ht="13.5" customHeight="1">
      <c r="A949" s="26"/>
      <c r="B949" s="60"/>
      <c r="C949" s="26"/>
      <c r="D949" s="26"/>
      <c r="E949" s="26"/>
      <c r="F949" s="61"/>
      <c r="G949" s="26"/>
    </row>
    <row r="950" spans="1:7" ht="13.5" customHeight="1">
      <c r="A950" s="26"/>
      <c r="B950" s="60"/>
      <c r="C950" s="26"/>
      <c r="D950" s="26"/>
      <c r="E950" s="26"/>
      <c r="F950" s="61"/>
      <c r="G950" s="26"/>
    </row>
    <row r="951" spans="1:7" ht="13.5" customHeight="1">
      <c r="A951" s="26"/>
      <c r="B951" s="60"/>
      <c r="C951" s="26"/>
      <c r="D951" s="26"/>
      <c r="E951" s="26"/>
      <c r="F951" s="61"/>
      <c r="G951" s="26"/>
    </row>
    <row r="952" spans="1:7" ht="13.5" customHeight="1">
      <c r="A952" s="26"/>
      <c r="B952" s="60"/>
      <c r="C952" s="26"/>
      <c r="D952" s="26"/>
      <c r="E952" s="26"/>
      <c r="F952" s="61"/>
      <c r="G952" s="26"/>
    </row>
    <row r="953" spans="1:7" ht="13.5" customHeight="1">
      <c r="A953" s="26"/>
      <c r="B953" s="60"/>
      <c r="C953" s="26"/>
      <c r="D953" s="26"/>
      <c r="E953" s="26"/>
      <c r="F953" s="61"/>
      <c r="G953" s="26"/>
    </row>
    <row r="954" spans="1:7" ht="13.5" customHeight="1">
      <c r="A954" s="26"/>
      <c r="B954" s="60"/>
      <c r="C954" s="26"/>
      <c r="D954" s="26"/>
      <c r="E954" s="26"/>
      <c r="F954" s="61"/>
      <c r="G954" s="26"/>
    </row>
    <row r="955" spans="1:7" ht="13.5" customHeight="1">
      <c r="A955" s="26"/>
      <c r="B955" s="60"/>
      <c r="C955" s="26"/>
      <c r="D955" s="26"/>
      <c r="E955" s="26"/>
      <c r="F955" s="61"/>
      <c r="G955" s="26"/>
    </row>
    <row r="956" spans="1:7" ht="13.5" customHeight="1">
      <c r="A956" s="26"/>
      <c r="B956" s="60"/>
      <c r="C956" s="26"/>
      <c r="D956" s="26"/>
      <c r="E956" s="26"/>
      <c r="F956" s="61"/>
      <c r="G956" s="26"/>
    </row>
    <row r="957" spans="1:7" ht="13.5" customHeight="1">
      <c r="A957" s="26"/>
      <c r="B957" s="60"/>
      <c r="C957" s="26"/>
      <c r="D957" s="26"/>
      <c r="E957" s="26"/>
      <c r="F957" s="61"/>
      <c r="G957" s="26"/>
    </row>
    <row r="958" spans="1:7" ht="13.5" customHeight="1">
      <c r="A958" s="26"/>
      <c r="B958" s="60"/>
      <c r="C958" s="26"/>
      <c r="D958" s="26"/>
      <c r="E958" s="26"/>
      <c r="F958" s="61"/>
      <c r="G958" s="26"/>
    </row>
    <row r="959" spans="1:7" ht="13.5" customHeight="1">
      <c r="A959" s="26"/>
      <c r="B959" s="60"/>
      <c r="C959" s="26"/>
      <c r="D959" s="26"/>
      <c r="E959" s="26"/>
      <c r="F959" s="61"/>
      <c r="G959" s="26"/>
    </row>
    <row r="960" spans="1:7" ht="13.5" customHeight="1">
      <c r="A960" s="26"/>
      <c r="B960" s="60"/>
      <c r="C960" s="26"/>
      <c r="D960" s="26"/>
      <c r="E960" s="26"/>
      <c r="F960" s="61"/>
      <c r="G960" s="26"/>
    </row>
    <row r="961" spans="1:7" ht="13.5" customHeight="1">
      <c r="A961" s="26"/>
      <c r="B961" s="60"/>
      <c r="C961" s="26"/>
      <c r="D961" s="26"/>
      <c r="E961" s="26"/>
      <c r="F961" s="61"/>
      <c r="G961" s="26"/>
    </row>
    <row r="962" spans="1:7" ht="13.5" customHeight="1">
      <c r="A962" s="26"/>
      <c r="B962" s="60"/>
      <c r="C962" s="26"/>
      <c r="D962" s="26"/>
      <c r="E962" s="26"/>
      <c r="F962" s="61"/>
      <c r="G962" s="26"/>
    </row>
    <row r="963" spans="1:7" ht="13.5" customHeight="1">
      <c r="A963" s="26"/>
      <c r="B963" s="60"/>
      <c r="C963" s="26"/>
      <c r="D963" s="26"/>
      <c r="E963" s="26"/>
      <c r="F963" s="61"/>
      <c r="G963" s="26"/>
    </row>
    <row r="964" spans="1:7" ht="13.5" customHeight="1">
      <c r="A964" s="26"/>
      <c r="B964" s="60"/>
      <c r="C964" s="26"/>
      <c r="D964" s="26"/>
      <c r="E964" s="26"/>
      <c r="F964" s="61"/>
      <c r="G964" s="26"/>
    </row>
    <row r="965" spans="1:7" ht="13.5" customHeight="1">
      <c r="A965" s="26"/>
      <c r="B965" s="60"/>
      <c r="C965" s="26"/>
      <c r="D965" s="26"/>
      <c r="E965" s="26"/>
      <c r="F965" s="61"/>
      <c r="G965" s="26"/>
    </row>
    <row r="966" spans="1:7" ht="13.5" customHeight="1">
      <c r="A966" s="26"/>
      <c r="B966" s="60"/>
      <c r="C966" s="26"/>
      <c r="D966" s="26"/>
      <c r="E966" s="26"/>
      <c r="F966" s="61"/>
      <c r="G966" s="26"/>
    </row>
    <row r="967" spans="1:7" ht="13.5" customHeight="1">
      <c r="A967" s="26"/>
      <c r="B967" s="60"/>
      <c r="C967" s="26"/>
      <c r="D967" s="26"/>
      <c r="E967" s="26"/>
      <c r="F967" s="61"/>
      <c r="G967" s="26"/>
    </row>
    <row r="968" spans="1:7" ht="13.5" customHeight="1">
      <c r="A968" s="26"/>
      <c r="B968" s="60"/>
      <c r="C968" s="26"/>
      <c r="D968" s="26"/>
      <c r="E968" s="26"/>
      <c r="F968" s="61"/>
      <c r="G968" s="26"/>
    </row>
    <row r="969" spans="1:7" ht="13.5" customHeight="1">
      <c r="A969" s="26"/>
      <c r="B969" s="60"/>
      <c r="C969" s="26"/>
      <c r="D969" s="26"/>
      <c r="E969" s="26"/>
      <c r="F969" s="61"/>
      <c r="G969" s="26"/>
    </row>
    <row r="970" spans="1:7" ht="13.5" customHeight="1">
      <c r="A970" s="26"/>
      <c r="B970" s="60"/>
      <c r="C970" s="26"/>
      <c r="D970" s="26"/>
      <c r="E970" s="26"/>
      <c r="F970" s="61"/>
      <c r="G970" s="26"/>
    </row>
    <row r="971" spans="1:7" ht="13.5" customHeight="1">
      <c r="A971" s="26"/>
      <c r="B971" s="60"/>
      <c r="C971" s="26"/>
      <c r="D971" s="26"/>
      <c r="E971" s="26"/>
      <c r="F971" s="61"/>
      <c r="G971" s="26"/>
    </row>
    <row r="972" spans="1:7" ht="13.5" customHeight="1">
      <c r="A972" s="26"/>
      <c r="B972" s="60"/>
      <c r="C972" s="26"/>
      <c r="D972" s="26"/>
      <c r="E972" s="26"/>
      <c r="F972" s="61"/>
      <c r="G972" s="26"/>
    </row>
    <row r="973" spans="1:7" ht="13.5" customHeight="1">
      <c r="A973" s="26"/>
      <c r="B973" s="60"/>
      <c r="C973" s="26"/>
      <c r="D973" s="26"/>
      <c r="E973" s="26"/>
      <c r="F973" s="61"/>
      <c r="G973" s="26"/>
    </row>
    <row r="974" spans="1:7" ht="13.5" customHeight="1">
      <c r="A974" s="26"/>
      <c r="B974" s="60"/>
      <c r="C974" s="26"/>
      <c r="D974" s="26"/>
      <c r="E974" s="26"/>
      <c r="F974" s="61"/>
      <c r="G974" s="26"/>
    </row>
    <row r="975" spans="1:7" ht="13.5" customHeight="1">
      <c r="A975" s="26"/>
      <c r="B975" s="60"/>
      <c r="C975" s="26"/>
      <c r="D975" s="26"/>
      <c r="E975" s="26"/>
      <c r="F975" s="61"/>
      <c r="G975" s="26"/>
    </row>
    <row r="976" spans="1:7" ht="13.5" customHeight="1">
      <c r="A976" s="26"/>
      <c r="B976" s="60"/>
      <c r="C976" s="26"/>
      <c r="D976" s="26"/>
      <c r="E976" s="26"/>
      <c r="F976" s="61"/>
      <c r="G976" s="26"/>
    </row>
    <row r="977" spans="1:7" ht="13.5" customHeight="1">
      <c r="A977" s="26"/>
      <c r="B977" s="60"/>
      <c r="C977" s="26"/>
      <c r="D977" s="26"/>
      <c r="E977" s="26"/>
      <c r="F977" s="61"/>
      <c r="G977" s="26"/>
    </row>
    <row r="978" spans="1:7" ht="13.5" customHeight="1">
      <c r="A978" s="26"/>
      <c r="B978" s="60"/>
      <c r="C978" s="26"/>
      <c r="D978" s="26"/>
      <c r="E978" s="26"/>
      <c r="F978" s="61"/>
      <c r="G978" s="26"/>
    </row>
    <row r="979" spans="1:7" ht="13.5" customHeight="1">
      <c r="A979" s="26"/>
      <c r="B979" s="60"/>
      <c r="C979" s="26"/>
      <c r="D979" s="26"/>
      <c r="E979" s="26"/>
      <c r="F979" s="61"/>
      <c r="G979" s="26"/>
    </row>
    <row r="980" spans="1:7" ht="13.5" customHeight="1">
      <c r="A980" s="26"/>
      <c r="B980" s="60"/>
      <c r="C980" s="26"/>
      <c r="D980" s="26"/>
      <c r="E980" s="26"/>
      <c r="F980" s="61"/>
      <c r="G980" s="26"/>
    </row>
    <row r="981" spans="1:7" ht="13.5" customHeight="1">
      <c r="A981" s="26"/>
      <c r="B981" s="60"/>
      <c r="C981" s="26"/>
      <c r="D981" s="26"/>
      <c r="E981" s="26"/>
      <c r="F981" s="61"/>
      <c r="G981" s="26"/>
    </row>
    <row r="982" spans="1:7" ht="13.5" customHeight="1">
      <c r="A982" s="26"/>
      <c r="B982" s="60"/>
      <c r="C982" s="26"/>
      <c r="D982" s="26"/>
      <c r="E982" s="26"/>
      <c r="F982" s="61"/>
      <c r="G982" s="26"/>
    </row>
    <row r="983" spans="1:7" ht="13.5" customHeight="1">
      <c r="A983" s="26"/>
      <c r="B983" s="60"/>
      <c r="C983" s="26"/>
      <c r="D983" s="26"/>
      <c r="E983" s="26"/>
      <c r="F983" s="61"/>
      <c r="G983" s="26"/>
    </row>
    <row r="984" spans="1:7" ht="13.5" customHeight="1">
      <c r="A984" s="26"/>
      <c r="B984" s="60"/>
      <c r="C984" s="26"/>
      <c r="D984" s="26"/>
      <c r="E984" s="26"/>
      <c r="F984" s="61"/>
      <c r="G984" s="26"/>
    </row>
    <row r="985" spans="1:7" ht="13.5" customHeight="1">
      <c r="A985" s="26"/>
      <c r="B985" s="60"/>
      <c r="C985" s="26"/>
      <c r="D985" s="26"/>
      <c r="E985" s="26"/>
      <c r="F985" s="61"/>
      <c r="G985" s="26"/>
    </row>
    <row r="986" spans="1:7" ht="13.5" customHeight="1">
      <c r="A986" s="26"/>
      <c r="B986" s="60"/>
      <c r="C986" s="26"/>
      <c r="D986" s="26"/>
      <c r="E986" s="26"/>
      <c r="F986" s="61"/>
      <c r="G986" s="26"/>
    </row>
    <row r="987" spans="1:7" ht="13.5" customHeight="1">
      <c r="A987" s="26"/>
      <c r="B987" s="60"/>
      <c r="C987" s="26"/>
      <c r="D987" s="26"/>
      <c r="E987" s="26"/>
      <c r="F987" s="61"/>
      <c r="G987" s="26"/>
    </row>
    <row r="988" spans="1:7" ht="13.5" customHeight="1">
      <c r="A988" s="26"/>
      <c r="B988" s="60"/>
      <c r="C988" s="26"/>
      <c r="D988" s="26"/>
      <c r="E988" s="26"/>
      <c r="F988" s="61"/>
      <c r="G988" s="26"/>
    </row>
    <row r="989" spans="1:7" ht="13.5" customHeight="1">
      <c r="A989" s="26"/>
      <c r="B989" s="60"/>
      <c r="C989" s="26"/>
      <c r="D989" s="26"/>
      <c r="E989" s="26"/>
      <c r="F989" s="61"/>
      <c r="G989" s="26"/>
    </row>
    <row r="990" spans="1:7" ht="13.5" customHeight="1">
      <c r="A990" s="26"/>
      <c r="B990" s="60"/>
      <c r="C990" s="26"/>
      <c r="D990" s="26"/>
      <c r="E990" s="26"/>
      <c r="F990" s="61"/>
      <c r="G990" s="26"/>
    </row>
    <row r="991" spans="1:7" ht="13.5" customHeight="1">
      <c r="A991" s="26"/>
      <c r="B991" s="60"/>
      <c r="C991" s="26"/>
      <c r="D991" s="26"/>
      <c r="E991" s="26"/>
      <c r="F991" s="61"/>
      <c r="G991" s="26"/>
    </row>
    <row r="992" spans="1:7" ht="13.5" customHeight="1">
      <c r="A992" s="26"/>
      <c r="B992" s="60"/>
      <c r="C992" s="26"/>
      <c r="D992" s="26"/>
      <c r="E992" s="26"/>
      <c r="F992" s="61"/>
      <c r="G992" s="26"/>
    </row>
    <row r="993" spans="1:7" ht="13.5" customHeight="1">
      <c r="A993" s="26"/>
      <c r="B993" s="60"/>
      <c r="C993" s="26"/>
      <c r="D993" s="26"/>
      <c r="E993" s="26"/>
      <c r="F993" s="61"/>
      <c r="G993" s="26"/>
    </row>
    <row r="994" spans="1:7" ht="13.5" customHeight="1">
      <c r="A994" s="26"/>
      <c r="B994" s="60"/>
      <c r="C994" s="26"/>
      <c r="D994" s="26"/>
      <c r="E994" s="26"/>
      <c r="F994" s="61"/>
      <c r="G994" s="26"/>
    </row>
    <row r="995" spans="1:7" ht="13.5" customHeight="1">
      <c r="A995" s="26"/>
      <c r="B995" s="60"/>
      <c r="C995" s="26"/>
      <c r="D995" s="26"/>
      <c r="E995" s="26"/>
      <c r="F995" s="61"/>
      <c r="G995" s="26"/>
    </row>
    <row r="996" spans="1:7" ht="13.5" customHeight="1">
      <c r="A996" s="26"/>
      <c r="B996" s="60"/>
      <c r="C996" s="26"/>
      <c r="D996" s="26"/>
      <c r="E996" s="26"/>
      <c r="F996" s="61"/>
      <c r="G996" s="26"/>
    </row>
    <row r="997" spans="1:7" ht="13.5" customHeight="1">
      <c r="A997" s="26"/>
      <c r="B997" s="60"/>
      <c r="C997" s="26"/>
      <c r="D997" s="26"/>
      <c r="E997" s="26"/>
      <c r="F997" s="61"/>
      <c r="G997" s="26"/>
    </row>
    <row r="998" spans="1:7" ht="13.5" customHeight="1">
      <c r="A998" s="26"/>
      <c r="B998" s="60"/>
      <c r="C998" s="26"/>
      <c r="D998" s="26"/>
      <c r="E998" s="26"/>
      <c r="F998" s="61"/>
      <c r="G998" s="26"/>
    </row>
    <row r="999" spans="1:7" ht="13.5" customHeight="1">
      <c r="A999" s="26"/>
      <c r="B999" s="60"/>
      <c r="C999" s="26"/>
      <c r="D999" s="26"/>
      <c r="E999" s="26"/>
      <c r="F999" s="61"/>
      <c r="G999" s="26"/>
    </row>
    <row r="1000" spans="1:7" ht="13.5" customHeight="1">
      <c r="A1000" s="26"/>
      <c r="B1000" s="60"/>
      <c r="C1000" s="26"/>
      <c r="D1000" s="26"/>
      <c r="E1000" s="26"/>
      <c r="F1000" s="61"/>
      <c r="G1000" s="2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625" defaultRowHeight="15" customHeight="1"/>
  <cols>
    <col min="1" max="1" width="28.625" customWidth="1"/>
    <col min="2" max="2" width="15.125" customWidth="1"/>
    <col min="3" max="3" width="22.625" customWidth="1"/>
    <col min="4" max="4" width="27.25" customWidth="1"/>
    <col min="5" max="5" width="45.875" customWidth="1"/>
    <col min="6" max="6" width="21.75" customWidth="1"/>
    <col min="7" max="7" width="15" customWidth="1"/>
    <col min="8" max="8" width="19.875" customWidth="1"/>
    <col min="9" max="9" width="16.875" customWidth="1"/>
    <col min="10" max="26" width="9" customWidth="1"/>
  </cols>
  <sheetData>
    <row r="1" spans="1:26" ht="25.5" customHeight="1">
      <c r="A1" s="62" t="s">
        <v>697</v>
      </c>
      <c r="B1" s="63" t="s">
        <v>698</v>
      </c>
      <c r="C1" s="63" t="s">
        <v>699</v>
      </c>
      <c r="D1" s="63" t="s">
        <v>700</v>
      </c>
      <c r="E1" s="63" t="s">
        <v>701</v>
      </c>
      <c r="F1" s="63" t="s">
        <v>702</v>
      </c>
      <c r="G1" s="63" t="s">
        <v>703</v>
      </c>
      <c r="H1" s="63" t="s">
        <v>704</v>
      </c>
      <c r="I1" s="63" t="s">
        <v>705</v>
      </c>
      <c r="J1" s="63" t="s">
        <v>117</v>
      </c>
      <c r="K1" s="63"/>
      <c r="L1" s="63"/>
      <c r="M1" s="63"/>
      <c r="N1" s="63"/>
      <c r="O1" s="63"/>
      <c r="P1" s="63"/>
      <c r="Q1" s="63"/>
      <c r="R1" s="63"/>
      <c r="S1" s="63"/>
      <c r="T1" s="63"/>
      <c r="U1" s="63"/>
      <c r="V1" s="63"/>
      <c r="W1" s="63"/>
      <c r="X1" s="63"/>
      <c r="Y1" s="63"/>
      <c r="Z1" s="63"/>
    </row>
    <row r="2" spans="1:26" ht="12.75" customHeight="1">
      <c r="A2" s="64" t="s">
        <v>706</v>
      </c>
      <c r="B2" s="65" t="s">
        <v>707</v>
      </c>
      <c r="C2" s="65" t="s">
        <v>708</v>
      </c>
      <c r="D2" s="65" t="s">
        <v>709</v>
      </c>
      <c r="E2" s="65" t="s">
        <v>709</v>
      </c>
      <c r="F2" s="65"/>
      <c r="G2" s="65"/>
      <c r="H2" s="65"/>
      <c r="I2" s="65" t="s">
        <v>710</v>
      </c>
      <c r="J2" s="65" t="s">
        <v>125</v>
      </c>
      <c r="K2" s="65"/>
      <c r="L2" s="65"/>
      <c r="M2" s="65"/>
      <c r="N2" s="65"/>
      <c r="O2" s="65"/>
      <c r="P2" s="65"/>
      <c r="Q2" s="65"/>
      <c r="R2" s="65"/>
      <c r="S2" s="65"/>
      <c r="T2" s="65"/>
      <c r="U2" s="65"/>
      <c r="V2" s="65"/>
      <c r="W2" s="65"/>
      <c r="X2" s="65"/>
      <c r="Y2" s="65"/>
      <c r="Z2" s="65"/>
    </row>
    <row r="3" spans="1:26" ht="12.75" customHeight="1">
      <c r="A3" s="64" t="s">
        <v>706</v>
      </c>
      <c r="B3" s="65" t="s">
        <v>707</v>
      </c>
      <c r="C3" s="65" t="s">
        <v>708</v>
      </c>
      <c r="D3" s="65" t="s">
        <v>709</v>
      </c>
      <c r="E3" s="65" t="s">
        <v>711</v>
      </c>
      <c r="F3" s="65"/>
      <c r="G3" s="65"/>
      <c r="H3" s="65"/>
      <c r="I3" s="65" t="s">
        <v>712</v>
      </c>
      <c r="J3" s="65" t="s">
        <v>125</v>
      </c>
      <c r="K3" s="65"/>
      <c r="L3" s="65"/>
      <c r="M3" s="65"/>
      <c r="N3" s="65"/>
      <c r="O3" s="65"/>
      <c r="P3" s="65"/>
      <c r="Q3" s="65"/>
      <c r="R3" s="65"/>
      <c r="S3" s="65"/>
      <c r="T3" s="65"/>
      <c r="U3" s="65"/>
      <c r="V3" s="65"/>
      <c r="W3" s="65"/>
      <c r="X3" s="65"/>
      <c r="Y3" s="65"/>
      <c r="Z3" s="65"/>
    </row>
    <row r="4" spans="1:26" ht="12.75" customHeight="1">
      <c r="A4" s="64" t="s">
        <v>706</v>
      </c>
      <c r="B4" s="65" t="s">
        <v>707</v>
      </c>
      <c r="C4" s="65" t="s">
        <v>708</v>
      </c>
      <c r="D4" s="65" t="s">
        <v>713</v>
      </c>
      <c r="E4" s="65" t="s">
        <v>714</v>
      </c>
      <c r="F4" s="65"/>
      <c r="G4" s="65"/>
      <c r="H4" s="65"/>
      <c r="I4" s="65" t="s">
        <v>715</v>
      </c>
      <c r="J4" s="65" t="s">
        <v>125</v>
      </c>
      <c r="K4" s="65"/>
      <c r="L4" s="65"/>
      <c r="M4" s="65"/>
      <c r="N4" s="65"/>
      <c r="O4" s="65"/>
      <c r="P4" s="65"/>
      <c r="Q4" s="65"/>
      <c r="R4" s="65"/>
      <c r="S4" s="65"/>
      <c r="T4" s="65"/>
      <c r="U4" s="65"/>
      <c r="V4" s="65"/>
      <c r="W4" s="65"/>
      <c r="X4" s="65"/>
      <c r="Y4" s="65"/>
      <c r="Z4" s="65"/>
    </row>
    <row r="5" spans="1:26" ht="12.75" customHeight="1">
      <c r="A5" s="64" t="s">
        <v>706</v>
      </c>
      <c r="B5" s="65" t="s">
        <v>707</v>
      </c>
      <c r="C5" s="65" t="s">
        <v>708</v>
      </c>
      <c r="D5" s="65" t="s">
        <v>713</v>
      </c>
      <c r="E5" s="65" t="s">
        <v>716</v>
      </c>
      <c r="F5" s="65"/>
      <c r="G5" s="65"/>
      <c r="H5" s="65"/>
      <c r="I5" s="65" t="s">
        <v>717</v>
      </c>
      <c r="J5" s="65" t="s">
        <v>125</v>
      </c>
      <c r="K5" s="65"/>
      <c r="L5" s="65"/>
      <c r="M5" s="65"/>
      <c r="N5" s="65"/>
      <c r="O5" s="65"/>
      <c r="P5" s="65"/>
      <c r="Q5" s="65"/>
      <c r="R5" s="65"/>
      <c r="S5" s="65"/>
      <c r="T5" s="65"/>
      <c r="U5" s="65"/>
      <c r="V5" s="65"/>
      <c r="W5" s="65"/>
      <c r="X5" s="65"/>
      <c r="Y5" s="65"/>
      <c r="Z5" s="65"/>
    </row>
    <row r="6" spans="1:26" ht="12.75" customHeight="1">
      <c r="A6" s="64" t="s">
        <v>706</v>
      </c>
      <c r="B6" s="65" t="s">
        <v>707</v>
      </c>
      <c r="C6" s="65" t="s">
        <v>708</v>
      </c>
      <c r="D6" s="65" t="s">
        <v>713</v>
      </c>
      <c r="E6" s="65" t="s">
        <v>718</v>
      </c>
      <c r="F6" s="65"/>
      <c r="G6" s="65"/>
      <c r="H6" s="65"/>
      <c r="I6" s="65" t="s">
        <v>719</v>
      </c>
      <c r="J6" s="65" t="s">
        <v>125</v>
      </c>
      <c r="K6" s="65"/>
      <c r="L6" s="65"/>
      <c r="M6" s="65"/>
      <c r="N6" s="65"/>
      <c r="O6" s="65"/>
      <c r="P6" s="65"/>
      <c r="Q6" s="65"/>
      <c r="R6" s="65"/>
      <c r="S6" s="65"/>
      <c r="T6" s="65"/>
      <c r="U6" s="65"/>
      <c r="V6" s="65"/>
      <c r="W6" s="65"/>
      <c r="X6" s="65"/>
      <c r="Y6" s="65"/>
      <c r="Z6" s="65"/>
    </row>
    <row r="7" spans="1:26" ht="12.75" customHeight="1">
      <c r="A7" s="64" t="s">
        <v>706</v>
      </c>
      <c r="B7" s="65" t="s">
        <v>707</v>
      </c>
      <c r="C7" s="65" t="s">
        <v>708</v>
      </c>
      <c r="D7" s="65" t="s">
        <v>713</v>
      </c>
      <c r="E7" s="65" t="s">
        <v>720</v>
      </c>
      <c r="F7" s="65"/>
      <c r="G7" s="65"/>
      <c r="H7" s="65"/>
      <c r="I7" s="65" t="s">
        <v>721</v>
      </c>
      <c r="J7" s="65" t="s">
        <v>125</v>
      </c>
      <c r="K7" s="65"/>
      <c r="L7" s="65"/>
      <c r="M7" s="65"/>
      <c r="N7" s="65"/>
      <c r="O7" s="65"/>
      <c r="P7" s="65"/>
      <c r="Q7" s="65"/>
      <c r="R7" s="65"/>
      <c r="S7" s="65"/>
      <c r="T7" s="65"/>
      <c r="U7" s="65"/>
      <c r="V7" s="65"/>
      <c r="W7" s="65"/>
      <c r="X7" s="65"/>
      <c r="Y7" s="65"/>
      <c r="Z7" s="65"/>
    </row>
    <row r="8" spans="1:26" ht="12.75" customHeight="1">
      <c r="A8" s="64" t="s">
        <v>706</v>
      </c>
      <c r="B8" s="65" t="s">
        <v>707</v>
      </c>
      <c r="C8" s="65" t="s">
        <v>708</v>
      </c>
      <c r="D8" s="65" t="s">
        <v>713</v>
      </c>
      <c r="E8" s="65" t="s">
        <v>722</v>
      </c>
      <c r="F8" s="65"/>
      <c r="G8" s="65"/>
      <c r="H8" s="65"/>
      <c r="I8" s="65" t="s">
        <v>723</v>
      </c>
      <c r="J8" s="65" t="s">
        <v>125</v>
      </c>
      <c r="K8" s="65"/>
      <c r="L8" s="65"/>
      <c r="M8" s="65"/>
      <c r="N8" s="65"/>
      <c r="O8" s="65"/>
      <c r="P8" s="65"/>
      <c r="Q8" s="65"/>
      <c r="R8" s="65"/>
      <c r="S8" s="65"/>
      <c r="T8" s="65"/>
      <c r="U8" s="65"/>
      <c r="V8" s="65"/>
      <c r="W8" s="65"/>
      <c r="X8" s="65"/>
      <c r="Y8" s="65"/>
      <c r="Z8" s="65"/>
    </row>
    <row r="9" spans="1:26" ht="12.75" customHeight="1">
      <c r="A9" s="64" t="s">
        <v>706</v>
      </c>
      <c r="B9" s="65" t="s">
        <v>707</v>
      </c>
      <c r="C9" s="65" t="s">
        <v>708</v>
      </c>
      <c r="D9" s="65" t="s">
        <v>713</v>
      </c>
      <c r="E9" s="65" t="s">
        <v>724</v>
      </c>
      <c r="F9" s="65"/>
      <c r="G9" s="65"/>
      <c r="H9" s="65"/>
      <c r="I9" s="65" t="s">
        <v>725</v>
      </c>
      <c r="J9" s="65" t="s">
        <v>125</v>
      </c>
      <c r="K9" s="65"/>
      <c r="L9" s="65"/>
      <c r="M9" s="65"/>
      <c r="N9" s="65"/>
      <c r="O9" s="65"/>
      <c r="P9" s="65"/>
      <c r="Q9" s="65"/>
      <c r="R9" s="65"/>
      <c r="S9" s="65"/>
      <c r="T9" s="65"/>
      <c r="U9" s="65"/>
      <c r="V9" s="65"/>
      <c r="W9" s="65"/>
      <c r="X9" s="65"/>
      <c r="Y9" s="65"/>
      <c r="Z9" s="65"/>
    </row>
    <row r="10" spans="1:26" ht="12.75" customHeight="1">
      <c r="A10" s="64" t="s">
        <v>706</v>
      </c>
      <c r="B10" s="65" t="s">
        <v>707</v>
      </c>
      <c r="C10" s="65" t="s">
        <v>708</v>
      </c>
      <c r="D10" s="65" t="s">
        <v>726</v>
      </c>
      <c r="E10" s="65" t="s">
        <v>727</v>
      </c>
      <c r="F10" s="65"/>
      <c r="G10" s="65" t="s">
        <v>728</v>
      </c>
      <c r="H10" s="65"/>
      <c r="I10" s="65" t="s">
        <v>729</v>
      </c>
      <c r="J10" s="65" t="s">
        <v>125</v>
      </c>
      <c r="K10" s="65"/>
      <c r="L10" s="65"/>
      <c r="M10" s="65"/>
      <c r="N10" s="65"/>
      <c r="O10" s="65"/>
      <c r="P10" s="65"/>
      <c r="Q10" s="65"/>
      <c r="R10" s="65"/>
      <c r="S10" s="65"/>
      <c r="T10" s="65"/>
      <c r="U10" s="65"/>
      <c r="V10" s="65"/>
      <c r="W10" s="65"/>
      <c r="X10" s="65"/>
      <c r="Y10" s="65"/>
      <c r="Z10" s="65"/>
    </row>
    <row r="11" spans="1:26" ht="12.75" customHeight="1">
      <c r="A11" s="64" t="s">
        <v>706</v>
      </c>
      <c r="B11" s="65" t="s">
        <v>707</v>
      </c>
      <c r="C11" s="65" t="s">
        <v>708</v>
      </c>
      <c r="D11" s="65" t="s">
        <v>726</v>
      </c>
      <c r="E11" s="65" t="s">
        <v>730</v>
      </c>
      <c r="F11" s="65"/>
      <c r="G11" s="65"/>
      <c r="H11" s="65"/>
      <c r="I11" s="65" t="s">
        <v>731</v>
      </c>
      <c r="J11" s="65" t="s">
        <v>125</v>
      </c>
      <c r="K11" s="65"/>
      <c r="L11" s="65"/>
      <c r="M11" s="65"/>
      <c r="N11" s="65"/>
      <c r="O11" s="65"/>
      <c r="P11" s="65"/>
      <c r="Q11" s="65"/>
      <c r="R11" s="65"/>
      <c r="S11" s="65"/>
      <c r="T11" s="65"/>
      <c r="U11" s="65"/>
      <c r="V11" s="65"/>
      <c r="W11" s="65"/>
      <c r="X11" s="65"/>
      <c r="Y11" s="65"/>
      <c r="Z11" s="65"/>
    </row>
    <row r="12" spans="1:26" ht="12.75" customHeight="1">
      <c r="A12" s="64" t="s">
        <v>706</v>
      </c>
      <c r="B12" s="65" t="s">
        <v>707</v>
      </c>
      <c r="C12" s="65" t="s">
        <v>708</v>
      </c>
      <c r="D12" s="65" t="s">
        <v>726</v>
      </c>
      <c r="E12" s="65" t="s">
        <v>732</v>
      </c>
      <c r="F12" s="65"/>
      <c r="G12" s="65"/>
      <c r="H12" s="65"/>
      <c r="I12" s="65" t="s">
        <v>733</v>
      </c>
      <c r="J12" s="65" t="s">
        <v>125</v>
      </c>
      <c r="K12" s="65"/>
      <c r="L12" s="65"/>
      <c r="M12" s="65"/>
      <c r="N12" s="65"/>
      <c r="O12" s="65"/>
      <c r="P12" s="65"/>
      <c r="Q12" s="65"/>
      <c r="R12" s="65"/>
      <c r="S12" s="65"/>
      <c r="T12" s="65"/>
      <c r="U12" s="65"/>
      <c r="V12" s="65"/>
      <c r="W12" s="65"/>
      <c r="X12" s="65"/>
      <c r="Y12" s="65"/>
      <c r="Z12" s="65"/>
    </row>
    <row r="13" spans="1:26" ht="12.75" customHeight="1">
      <c r="A13" s="64" t="s">
        <v>706</v>
      </c>
      <c r="B13" s="65" t="s">
        <v>707</v>
      </c>
      <c r="C13" s="65" t="s">
        <v>708</v>
      </c>
      <c r="D13" s="65" t="s">
        <v>726</v>
      </c>
      <c r="E13" s="65" t="s">
        <v>734</v>
      </c>
      <c r="F13" s="65"/>
      <c r="G13" s="65"/>
      <c r="H13" s="65"/>
      <c r="I13" s="65" t="s">
        <v>735</v>
      </c>
      <c r="J13" s="65" t="s">
        <v>125</v>
      </c>
      <c r="K13" s="65"/>
      <c r="L13" s="65"/>
      <c r="M13" s="65"/>
      <c r="N13" s="65"/>
      <c r="O13" s="65"/>
      <c r="P13" s="65"/>
      <c r="Q13" s="65"/>
      <c r="R13" s="65"/>
      <c r="S13" s="65"/>
      <c r="T13" s="65"/>
      <c r="U13" s="65"/>
      <c r="V13" s="65"/>
      <c r="W13" s="65"/>
      <c r="X13" s="65"/>
      <c r="Y13" s="65"/>
      <c r="Z13" s="65"/>
    </row>
    <row r="14" spans="1:26" ht="12.75" customHeight="1">
      <c r="A14" s="64" t="s">
        <v>706</v>
      </c>
      <c r="B14" s="65" t="s">
        <v>707</v>
      </c>
      <c r="C14" s="65" t="s">
        <v>708</v>
      </c>
      <c r="D14" s="65" t="s">
        <v>736</v>
      </c>
      <c r="E14" s="65" t="s">
        <v>730</v>
      </c>
      <c r="F14" s="65"/>
      <c r="G14" s="65"/>
      <c r="H14" s="65"/>
      <c r="I14" s="65" t="s">
        <v>737</v>
      </c>
      <c r="J14" s="65" t="s">
        <v>125</v>
      </c>
      <c r="K14" s="65"/>
      <c r="L14" s="65"/>
      <c r="M14" s="65"/>
      <c r="N14" s="65"/>
      <c r="O14" s="65"/>
      <c r="P14" s="65"/>
      <c r="Q14" s="65"/>
      <c r="R14" s="65"/>
      <c r="S14" s="65"/>
      <c r="T14" s="65"/>
      <c r="U14" s="65"/>
      <c r="V14" s="65"/>
      <c r="W14" s="65"/>
      <c r="X14" s="65"/>
      <c r="Y14" s="65"/>
      <c r="Z14" s="65"/>
    </row>
    <row r="15" spans="1:26" ht="12.75" customHeight="1">
      <c r="A15" s="64" t="s">
        <v>706</v>
      </c>
      <c r="B15" s="65" t="s">
        <v>707</v>
      </c>
      <c r="C15" s="65" t="s">
        <v>708</v>
      </c>
      <c r="D15" s="65" t="s">
        <v>738</v>
      </c>
      <c r="E15" s="65" t="s">
        <v>739</v>
      </c>
      <c r="F15" s="65"/>
      <c r="G15" s="65"/>
      <c r="H15" s="65"/>
      <c r="I15" s="65" t="s">
        <v>740</v>
      </c>
      <c r="J15" s="65" t="s">
        <v>125</v>
      </c>
      <c r="K15" s="65"/>
      <c r="L15" s="65"/>
      <c r="M15" s="65"/>
      <c r="N15" s="65"/>
      <c r="O15" s="65"/>
      <c r="P15" s="65"/>
      <c r="Q15" s="65"/>
      <c r="R15" s="65"/>
      <c r="S15" s="65"/>
      <c r="T15" s="65"/>
      <c r="U15" s="65"/>
      <c r="V15" s="65"/>
      <c r="W15" s="65"/>
      <c r="X15" s="65"/>
      <c r="Y15" s="65"/>
      <c r="Z15" s="65"/>
    </row>
    <row r="16" spans="1:26" ht="12.75" customHeight="1">
      <c r="A16" s="64" t="s">
        <v>706</v>
      </c>
      <c r="B16" s="65" t="s">
        <v>707</v>
      </c>
      <c r="C16" s="65" t="s">
        <v>708</v>
      </c>
      <c r="D16" s="65" t="s">
        <v>738</v>
      </c>
      <c r="E16" s="65" t="s">
        <v>741</v>
      </c>
      <c r="F16" s="65"/>
      <c r="G16" s="65"/>
      <c r="H16" s="65"/>
      <c r="I16" s="65" t="s">
        <v>742</v>
      </c>
      <c r="J16" s="65" t="s">
        <v>125</v>
      </c>
      <c r="K16" s="65"/>
      <c r="L16" s="65"/>
      <c r="M16" s="65"/>
      <c r="N16" s="65"/>
      <c r="O16" s="65"/>
      <c r="P16" s="65"/>
      <c r="Q16" s="65"/>
      <c r="R16" s="65"/>
      <c r="S16" s="65"/>
      <c r="T16" s="65"/>
      <c r="U16" s="65"/>
      <c r="V16" s="65"/>
      <c r="W16" s="65"/>
      <c r="X16" s="65"/>
      <c r="Y16" s="65"/>
      <c r="Z16" s="65"/>
    </row>
    <row r="17" spans="1:26" ht="12.75" customHeight="1">
      <c r="A17" s="64" t="s">
        <v>706</v>
      </c>
      <c r="B17" s="65" t="s">
        <v>707</v>
      </c>
      <c r="C17" s="65" t="s">
        <v>708</v>
      </c>
      <c r="D17" s="65" t="s">
        <v>738</v>
      </c>
      <c r="E17" s="65" t="s">
        <v>743</v>
      </c>
      <c r="F17" s="65"/>
      <c r="G17" s="65" t="s">
        <v>744</v>
      </c>
      <c r="H17" s="65" t="s">
        <v>745</v>
      </c>
      <c r="I17" s="65" t="s">
        <v>746</v>
      </c>
      <c r="J17" s="65" t="s">
        <v>125</v>
      </c>
      <c r="K17" s="65"/>
      <c r="L17" s="65"/>
      <c r="M17" s="65"/>
      <c r="N17" s="65"/>
      <c r="O17" s="65"/>
      <c r="P17" s="65"/>
      <c r="Q17" s="65"/>
      <c r="R17" s="65"/>
      <c r="S17" s="65"/>
      <c r="T17" s="65"/>
      <c r="U17" s="65"/>
      <c r="V17" s="65"/>
      <c r="W17" s="65"/>
      <c r="X17" s="65"/>
      <c r="Y17" s="65"/>
      <c r="Z17" s="65"/>
    </row>
    <row r="18" spans="1:26" ht="12.75" customHeight="1">
      <c r="A18" s="64" t="s">
        <v>706</v>
      </c>
      <c r="B18" s="65" t="s">
        <v>707</v>
      </c>
      <c r="C18" s="65" t="s">
        <v>708</v>
      </c>
      <c r="D18" s="65" t="s">
        <v>738</v>
      </c>
      <c r="E18" s="65" t="s">
        <v>747</v>
      </c>
      <c r="F18" s="65"/>
      <c r="G18" s="65"/>
      <c r="H18" s="65"/>
      <c r="I18" s="65" t="s">
        <v>748</v>
      </c>
      <c r="J18" s="65" t="s">
        <v>125</v>
      </c>
      <c r="K18" s="65"/>
      <c r="L18" s="65"/>
      <c r="M18" s="65"/>
      <c r="N18" s="65"/>
      <c r="O18" s="65"/>
      <c r="P18" s="65"/>
      <c r="Q18" s="65"/>
      <c r="R18" s="65"/>
      <c r="S18" s="65"/>
      <c r="T18" s="65"/>
      <c r="U18" s="65"/>
      <c r="V18" s="65"/>
      <c r="W18" s="65"/>
      <c r="X18" s="65"/>
      <c r="Y18" s="65"/>
      <c r="Z18" s="65"/>
    </row>
    <row r="19" spans="1:26" ht="12.75" customHeight="1">
      <c r="A19" s="64" t="s">
        <v>706</v>
      </c>
      <c r="B19" s="65" t="s">
        <v>707</v>
      </c>
      <c r="C19" s="65" t="s">
        <v>708</v>
      </c>
      <c r="D19" s="65" t="s">
        <v>738</v>
      </c>
      <c r="E19" s="65" t="s">
        <v>749</v>
      </c>
      <c r="F19" s="65"/>
      <c r="G19" s="65"/>
      <c r="H19" s="65"/>
      <c r="I19" s="65" t="s">
        <v>750</v>
      </c>
      <c r="J19" s="65" t="s">
        <v>125</v>
      </c>
      <c r="K19" s="65"/>
      <c r="L19" s="65"/>
      <c r="M19" s="65"/>
      <c r="N19" s="65"/>
      <c r="O19" s="65"/>
      <c r="P19" s="65"/>
      <c r="Q19" s="65"/>
      <c r="R19" s="65"/>
      <c r="S19" s="65"/>
      <c r="T19" s="65"/>
      <c r="U19" s="65"/>
      <c r="V19" s="65"/>
      <c r="W19" s="65"/>
      <c r="X19" s="65"/>
      <c r="Y19" s="65"/>
      <c r="Z19" s="65"/>
    </row>
    <row r="20" spans="1:26" ht="12.75" customHeight="1">
      <c r="A20" s="64" t="s">
        <v>706</v>
      </c>
      <c r="B20" s="65" t="s">
        <v>707</v>
      </c>
      <c r="C20" s="65" t="s">
        <v>708</v>
      </c>
      <c r="D20" s="65" t="s">
        <v>738</v>
      </c>
      <c r="E20" s="65" t="s">
        <v>751</v>
      </c>
      <c r="F20" s="65"/>
      <c r="G20" s="65"/>
      <c r="H20" s="65"/>
      <c r="I20" s="65" t="s">
        <v>752</v>
      </c>
      <c r="J20" s="65" t="s">
        <v>125</v>
      </c>
      <c r="K20" s="65"/>
      <c r="L20" s="65"/>
      <c r="M20" s="65"/>
      <c r="N20" s="65"/>
      <c r="O20" s="65"/>
      <c r="P20" s="65"/>
      <c r="Q20" s="65"/>
      <c r="R20" s="65"/>
      <c r="S20" s="65"/>
      <c r="T20" s="65"/>
      <c r="U20" s="65"/>
      <c r="V20" s="65"/>
      <c r="W20" s="65"/>
      <c r="X20" s="65"/>
      <c r="Y20" s="65"/>
      <c r="Z20" s="65"/>
    </row>
    <row r="21" spans="1:26" ht="12.75" customHeight="1">
      <c r="A21" s="64" t="s">
        <v>706</v>
      </c>
      <c r="B21" s="65" t="s">
        <v>707</v>
      </c>
      <c r="C21" s="65" t="s">
        <v>708</v>
      </c>
      <c r="D21" s="65" t="s">
        <v>738</v>
      </c>
      <c r="E21" s="65" t="s">
        <v>753</v>
      </c>
      <c r="F21" s="65"/>
      <c r="G21" s="65"/>
      <c r="H21" s="65"/>
      <c r="I21" s="65" t="s">
        <v>754</v>
      </c>
      <c r="J21" s="65" t="s">
        <v>125</v>
      </c>
      <c r="K21" s="65"/>
      <c r="L21" s="65"/>
      <c r="M21" s="65"/>
      <c r="N21" s="65"/>
      <c r="O21" s="65"/>
      <c r="P21" s="65"/>
      <c r="Q21" s="65"/>
      <c r="R21" s="65"/>
      <c r="S21" s="65"/>
      <c r="T21" s="65"/>
      <c r="U21" s="65"/>
      <c r="V21" s="65"/>
      <c r="W21" s="65"/>
      <c r="X21" s="65"/>
      <c r="Y21" s="65"/>
      <c r="Z21" s="65"/>
    </row>
    <row r="22" spans="1:26" ht="12.75" customHeight="1">
      <c r="A22" s="64" t="s">
        <v>706</v>
      </c>
      <c r="B22" s="65" t="s">
        <v>707</v>
      </c>
      <c r="C22" s="65" t="s">
        <v>708</v>
      </c>
      <c r="D22" s="65" t="s">
        <v>738</v>
      </c>
      <c r="E22" s="65" t="s">
        <v>755</v>
      </c>
      <c r="F22" s="65"/>
      <c r="G22" s="65"/>
      <c r="H22" s="65"/>
      <c r="I22" s="65" t="s">
        <v>756</v>
      </c>
      <c r="J22" s="65" t="s">
        <v>125</v>
      </c>
      <c r="K22" s="65"/>
      <c r="L22" s="65"/>
      <c r="M22" s="65"/>
      <c r="N22" s="65"/>
      <c r="O22" s="65"/>
      <c r="P22" s="65"/>
      <c r="Q22" s="65"/>
      <c r="R22" s="65"/>
      <c r="S22" s="65"/>
      <c r="T22" s="65"/>
      <c r="U22" s="65"/>
      <c r="V22" s="65"/>
      <c r="W22" s="65"/>
      <c r="X22" s="65"/>
      <c r="Y22" s="65"/>
      <c r="Z22" s="65"/>
    </row>
    <row r="23" spans="1:26" ht="12.75" customHeight="1">
      <c r="A23" s="64" t="s">
        <v>706</v>
      </c>
      <c r="B23" s="65" t="s">
        <v>707</v>
      </c>
      <c r="C23" s="65" t="s">
        <v>708</v>
      </c>
      <c r="D23" s="65" t="s">
        <v>738</v>
      </c>
      <c r="E23" s="65" t="s">
        <v>757</v>
      </c>
      <c r="F23" s="65"/>
      <c r="G23" s="65" t="s">
        <v>758</v>
      </c>
      <c r="H23" s="65" t="s">
        <v>759</v>
      </c>
      <c r="I23" s="65" t="s">
        <v>760</v>
      </c>
      <c r="J23" s="65" t="s">
        <v>125</v>
      </c>
      <c r="K23" s="65"/>
      <c r="L23" s="65"/>
      <c r="M23" s="65"/>
      <c r="N23" s="65"/>
      <c r="O23" s="65"/>
      <c r="P23" s="65"/>
      <c r="Q23" s="65"/>
      <c r="R23" s="65"/>
      <c r="S23" s="65"/>
      <c r="T23" s="65"/>
      <c r="U23" s="65"/>
      <c r="V23" s="65"/>
      <c r="W23" s="65"/>
      <c r="X23" s="65"/>
      <c r="Y23" s="65"/>
      <c r="Z23" s="65"/>
    </row>
    <row r="24" spans="1:26" ht="12.75" customHeight="1">
      <c r="A24" s="64" t="s">
        <v>706</v>
      </c>
      <c r="B24" s="65" t="s">
        <v>707</v>
      </c>
      <c r="C24" s="65" t="s">
        <v>708</v>
      </c>
      <c r="D24" s="65" t="s">
        <v>738</v>
      </c>
      <c r="E24" s="65" t="s">
        <v>761</v>
      </c>
      <c r="F24" s="65"/>
      <c r="G24" s="65"/>
      <c r="H24" s="65"/>
      <c r="I24" s="65" t="s">
        <v>762</v>
      </c>
      <c r="J24" s="65" t="s">
        <v>125</v>
      </c>
      <c r="K24" s="65"/>
      <c r="L24" s="65"/>
      <c r="M24" s="65"/>
      <c r="N24" s="65"/>
      <c r="O24" s="65"/>
      <c r="P24" s="65"/>
      <c r="Q24" s="65"/>
      <c r="R24" s="65"/>
      <c r="S24" s="65"/>
      <c r="T24" s="65"/>
      <c r="U24" s="65"/>
      <c r="V24" s="65"/>
      <c r="W24" s="65"/>
      <c r="X24" s="65"/>
      <c r="Y24" s="65"/>
      <c r="Z24" s="65"/>
    </row>
    <row r="25" spans="1:26" ht="12.75" customHeight="1">
      <c r="A25" s="64" t="s">
        <v>706</v>
      </c>
      <c r="B25" s="65" t="s">
        <v>707</v>
      </c>
      <c r="C25" s="65" t="s">
        <v>708</v>
      </c>
      <c r="D25" s="65" t="s">
        <v>738</v>
      </c>
      <c r="E25" s="65" t="s">
        <v>763</v>
      </c>
      <c r="F25" s="65"/>
      <c r="G25" s="65"/>
      <c r="H25" s="65"/>
      <c r="I25" s="65" t="s">
        <v>764</v>
      </c>
      <c r="J25" s="65" t="s">
        <v>125</v>
      </c>
      <c r="K25" s="65"/>
      <c r="L25" s="65"/>
      <c r="M25" s="65"/>
      <c r="N25" s="65"/>
      <c r="O25" s="65"/>
      <c r="P25" s="65"/>
      <c r="Q25" s="65"/>
      <c r="R25" s="65"/>
      <c r="S25" s="65"/>
      <c r="T25" s="65"/>
      <c r="U25" s="65"/>
      <c r="V25" s="65"/>
      <c r="W25" s="65"/>
      <c r="X25" s="65"/>
      <c r="Y25" s="65"/>
      <c r="Z25" s="65"/>
    </row>
    <row r="26" spans="1:26" ht="12.75" customHeight="1">
      <c r="A26" s="64" t="s">
        <v>706</v>
      </c>
      <c r="B26" s="65" t="s">
        <v>707</v>
      </c>
      <c r="C26" s="65" t="s">
        <v>708</v>
      </c>
      <c r="D26" s="65" t="s">
        <v>738</v>
      </c>
      <c r="E26" s="65" t="s">
        <v>765</v>
      </c>
      <c r="F26" s="65"/>
      <c r="G26" s="65"/>
      <c r="H26" s="65"/>
      <c r="I26" s="65" t="s">
        <v>766</v>
      </c>
      <c r="J26" s="65" t="s">
        <v>125</v>
      </c>
      <c r="K26" s="65"/>
      <c r="L26" s="65"/>
      <c r="M26" s="65"/>
      <c r="N26" s="65"/>
      <c r="O26" s="65"/>
      <c r="P26" s="65"/>
      <c r="Q26" s="65"/>
      <c r="R26" s="65"/>
      <c r="S26" s="65"/>
      <c r="T26" s="65"/>
      <c r="U26" s="65"/>
      <c r="V26" s="65"/>
      <c r="W26" s="65"/>
      <c r="X26" s="65"/>
      <c r="Y26" s="65"/>
      <c r="Z26" s="65"/>
    </row>
    <row r="27" spans="1:26" ht="12.75" customHeight="1">
      <c r="A27" s="64" t="s">
        <v>706</v>
      </c>
      <c r="B27" s="65" t="s">
        <v>707</v>
      </c>
      <c r="C27" s="65" t="s">
        <v>708</v>
      </c>
      <c r="D27" s="65" t="s">
        <v>738</v>
      </c>
      <c r="E27" s="65" t="s">
        <v>767</v>
      </c>
      <c r="F27" s="65"/>
      <c r="G27" s="65"/>
      <c r="H27" s="65"/>
      <c r="I27" s="65" t="s">
        <v>768</v>
      </c>
      <c r="J27" s="65" t="s">
        <v>125</v>
      </c>
      <c r="K27" s="65"/>
      <c r="L27" s="65"/>
      <c r="M27" s="65"/>
      <c r="N27" s="65"/>
      <c r="O27" s="65"/>
      <c r="P27" s="65"/>
      <c r="Q27" s="65"/>
      <c r="R27" s="65"/>
      <c r="S27" s="65"/>
      <c r="T27" s="65"/>
      <c r="U27" s="65"/>
      <c r="V27" s="65"/>
      <c r="W27" s="65"/>
      <c r="X27" s="65"/>
      <c r="Y27" s="65"/>
      <c r="Z27" s="65"/>
    </row>
    <row r="28" spans="1:26" ht="12.75" customHeight="1">
      <c r="A28" s="64" t="s">
        <v>706</v>
      </c>
      <c r="B28" s="65" t="s">
        <v>707</v>
      </c>
      <c r="C28" s="65" t="s">
        <v>708</v>
      </c>
      <c r="D28" s="65" t="s">
        <v>738</v>
      </c>
      <c r="E28" s="65" t="s">
        <v>769</v>
      </c>
      <c r="F28" s="65"/>
      <c r="G28" s="65"/>
      <c r="H28" s="65"/>
      <c r="I28" s="65" t="s">
        <v>770</v>
      </c>
      <c r="J28" s="65" t="s">
        <v>125</v>
      </c>
      <c r="K28" s="65"/>
      <c r="L28" s="65"/>
      <c r="M28" s="65"/>
      <c r="N28" s="65"/>
      <c r="O28" s="65"/>
      <c r="P28" s="65"/>
      <c r="Q28" s="65"/>
      <c r="R28" s="65"/>
      <c r="S28" s="65"/>
      <c r="T28" s="65"/>
      <c r="U28" s="65"/>
      <c r="V28" s="65"/>
      <c r="W28" s="65"/>
      <c r="X28" s="65"/>
      <c r="Y28" s="65"/>
      <c r="Z28" s="65"/>
    </row>
    <row r="29" spans="1:26" ht="12.75" customHeight="1">
      <c r="A29" s="64" t="s">
        <v>706</v>
      </c>
      <c r="B29" s="65" t="s">
        <v>707</v>
      </c>
      <c r="C29" s="65" t="s">
        <v>708</v>
      </c>
      <c r="D29" s="65" t="s">
        <v>738</v>
      </c>
      <c r="E29" s="65" t="s">
        <v>771</v>
      </c>
      <c r="F29" s="65"/>
      <c r="G29" s="65"/>
      <c r="H29" s="65"/>
      <c r="I29" s="65" t="s">
        <v>772</v>
      </c>
      <c r="J29" s="65" t="s">
        <v>125</v>
      </c>
      <c r="K29" s="65"/>
      <c r="L29" s="65"/>
      <c r="M29" s="65"/>
      <c r="N29" s="65"/>
      <c r="O29" s="65"/>
      <c r="P29" s="65"/>
      <c r="Q29" s="65"/>
      <c r="R29" s="65"/>
      <c r="S29" s="65"/>
      <c r="T29" s="65"/>
      <c r="U29" s="65"/>
      <c r="V29" s="65"/>
      <c r="W29" s="65"/>
      <c r="X29" s="65"/>
      <c r="Y29" s="65"/>
      <c r="Z29" s="65"/>
    </row>
    <row r="30" spans="1:26" ht="12.75" customHeight="1">
      <c r="A30" s="64" t="s">
        <v>706</v>
      </c>
      <c r="B30" s="65" t="s">
        <v>707</v>
      </c>
      <c r="C30" s="65" t="s">
        <v>773</v>
      </c>
      <c r="D30" s="65" t="s">
        <v>709</v>
      </c>
      <c r="E30" s="65" t="s">
        <v>709</v>
      </c>
      <c r="F30" s="65"/>
      <c r="G30" s="65"/>
      <c r="H30" s="65"/>
      <c r="I30" s="65" t="s">
        <v>774</v>
      </c>
      <c r="J30" s="65" t="s">
        <v>125</v>
      </c>
      <c r="K30" s="65"/>
      <c r="L30" s="65"/>
      <c r="M30" s="65"/>
      <c r="N30" s="65"/>
      <c r="O30" s="65"/>
      <c r="P30" s="65"/>
      <c r="Q30" s="65"/>
      <c r="R30" s="65"/>
      <c r="S30" s="65"/>
      <c r="T30" s="65"/>
      <c r="U30" s="65"/>
      <c r="V30" s="65"/>
      <c r="W30" s="65"/>
      <c r="X30" s="65"/>
      <c r="Y30" s="65"/>
      <c r="Z30" s="65"/>
    </row>
    <row r="31" spans="1:26" ht="12.75" customHeight="1">
      <c r="A31" s="64" t="s">
        <v>706</v>
      </c>
      <c r="B31" s="65" t="s">
        <v>707</v>
      </c>
      <c r="C31" s="65" t="s">
        <v>773</v>
      </c>
      <c r="D31" s="65" t="s">
        <v>709</v>
      </c>
      <c r="E31" s="65" t="s">
        <v>711</v>
      </c>
      <c r="F31" s="65"/>
      <c r="G31" s="65"/>
      <c r="H31" s="65"/>
      <c r="I31" s="65" t="s">
        <v>775</v>
      </c>
      <c r="J31" s="65" t="s">
        <v>125</v>
      </c>
      <c r="K31" s="65"/>
      <c r="L31" s="65"/>
      <c r="M31" s="65"/>
      <c r="N31" s="65"/>
      <c r="O31" s="65"/>
      <c r="P31" s="65"/>
      <c r="Q31" s="65"/>
      <c r="R31" s="65"/>
      <c r="S31" s="65"/>
      <c r="T31" s="65"/>
      <c r="U31" s="65"/>
      <c r="V31" s="65"/>
      <c r="W31" s="65"/>
      <c r="X31" s="65"/>
      <c r="Y31" s="65"/>
      <c r="Z31" s="65"/>
    </row>
    <row r="32" spans="1:26" ht="12.75" customHeight="1">
      <c r="A32" s="64" t="s">
        <v>706</v>
      </c>
      <c r="B32" s="65" t="s">
        <v>707</v>
      </c>
      <c r="C32" s="65" t="s">
        <v>773</v>
      </c>
      <c r="D32" s="65" t="s">
        <v>713</v>
      </c>
      <c r="E32" s="65" t="s">
        <v>714</v>
      </c>
      <c r="F32" s="65"/>
      <c r="G32" s="65"/>
      <c r="H32" s="65"/>
      <c r="I32" s="65" t="s">
        <v>776</v>
      </c>
      <c r="J32" s="65" t="s">
        <v>125</v>
      </c>
      <c r="K32" s="65"/>
      <c r="L32" s="65"/>
      <c r="M32" s="65"/>
      <c r="N32" s="65"/>
      <c r="O32" s="65"/>
      <c r="P32" s="65"/>
      <c r="Q32" s="65"/>
      <c r="R32" s="65"/>
      <c r="S32" s="65"/>
      <c r="T32" s="65"/>
      <c r="U32" s="65"/>
      <c r="V32" s="65"/>
      <c r="W32" s="65"/>
      <c r="X32" s="65"/>
      <c r="Y32" s="65"/>
      <c r="Z32" s="65"/>
    </row>
    <row r="33" spans="1:26" ht="12.75" customHeight="1">
      <c r="A33" s="64" t="s">
        <v>706</v>
      </c>
      <c r="B33" s="65" t="s">
        <v>707</v>
      </c>
      <c r="C33" s="65" t="s">
        <v>773</v>
      </c>
      <c r="D33" s="65" t="s">
        <v>713</v>
      </c>
      <c r="E33" s="65" t="s">
        <v>716</v>
      </c>
      <c r="F33" s="65"/>
      <c r="G33" s="65"/>
      <c r="H33" s="65"/>
      <c r="I33" s="65" t="s">
        <v>777</v>
      </c>
      <c r="J33" s="65" t="s">
        <v>125</v>
      </c>
      <c r="K33" s="65"/>
      <c r="L33" s="65"/>
      <c r="M33" s="65"/>
      <c r="N33" s="65"/>
      <c r="O33" s="65"/>
      <c r="P33" s="65"/>
      <c r="Q33" s="65"/>
      <c r="R33" s="65"/>
      <c r="S33" s="65"/>
      <c r="T33" s="65"/>
      <c r="U33" s="65"/>
      <c r="V33" s="65"/>
      <c r="W33" s="65"/>
      <c r="X33" s="65"/>
      <c r="Y33" s="65"/>
      <c r="Z33" s="65"/>
    </row>
    <row r="34" spans="1:26" ht="12.75" customHeight="1">
      <c r="A34" s="64" t="s">
        <v>706</v>
      </c>
      <c r="B34" s="65" t="s">
        <v>707</v>
      </c>
      <c r="C34" s="65" t="s">
        <v>773</v>
      </c>
      <c r="D34" s="65" t="s">
        <v>713</v>
      </c>
      <c r="E34" s="65" t="s">
        <v>718</v>
      </c>
      <c r="F34" s="65"/>
      <c r="G34" s="65"/>
      <c r="H34" s="65"/>
      <c r="I34" s="65" t="s">
        <v>778</v>
      </c>
      <c r="J34" s="65" t="s">
        <v>125</v>
      </c>
      <c r="K34" s="65"/>
      <c r="L34" s="65"/>
      <c r="M34" s="65"/>
      <c r="N34" s="65"/>
      <c r="O34" s="65"/>
      <c r="P34" s="65"/>
      <c r="Q34" s="65"/>
      <c r="R34" s="65"/>
      <c r="S34" s="65"/>
      <c r="T34" s="65"/>
      <c r="U34" s="65"/>
      <c r="V34" s="65"/>
      <c r="W34" s="65"/>
      <c r="X34" s="65"/>
      <c r="Y34" s="65"/>
      <c r="Z34" s="65"/>
    </row>
    <row r="35" spans="1:26" ht="12.75" customHeight="1">
      <c r="A35" s="64" t="s">
        <v>706</v>
      </c>
      <c r="B35" s="65" t="s">
        <v>707</v>
      </c>
      <c r="C35" s="65" t="s">
        <v>773</v>
      </c>
      <c r="D35" s="65" t="s">
        <v>713</v>
      </c>
      <c r="E35" s="65" t="s">
        <v>720</v>
      </c>
      <c r="F35" s="65"/>
      <c r="G35" s="65"/>
      <c r="H35" s="65"/>
      <c r="I35" s="65" t="s">
        <v>779</v>
      </c>
      <c r="J35" s="65" t="s">
        <v>125</v>
      </c>
      <c r="K35" s="65"/>
      <c r="L35" s="65"/>
      <c r="M35" s="65"/>
      <c r="N35" s="65"/>
      <c r="O35" s="65"/>
      <c r="P35" s="65"/>
      <c r="Q35" s="65"/>
      <c r="R35" s="65"/>
      <c r="S35" s="65"/>
      <c r="T35" s="65"/>
      <c r="U35" s="65"/>
      <c r="V35" s="65"/>
      <c r="W35" s="65"/>
      <c r="X35" s="65"/>
      <c r="Y35" s="65"/>
      <c r="Z35" s="65"/>
    </row>
    <row r="36" spans="1:26" ht="12.75" customHeight="1">
      <c r="A36" s="64" t="s">
        <v>706</v>
      </c>
      <c r="B36" s="65" t="s">
        <v>707</v>
      </c>
      <c r="C36" s="65" t="s">
        <v>773</v>
      </c>
      <c r="D36" s="65" t="s">
        <v>713</v>
      </c>
      <c r="E36" s="65" t="s">
        <v>722</v>
      </c>
      <c r="F36" s="65"/>
      <c r="G36" s="65"/>
      <c r="H36" s="65"/>
      <c r="I36" s="65" t="s">
        <v>780</v>
      </c>
      <c r="J36" s="65" t="s">
        <v>125</v>
      </c>
      <c r="K36" s="65"/>
      <c r="L36" s="65"/>
      <c r="M36" s="65"/>
      <c r="N36" s="65"/>
      <c r="O36" s="65"/>
      <c r="P36" s="65"/>
      <c r="Q36" s="65"/>
      <c r="R36" s="65"/>
      <c r="S36" s="65"/>
      <c r="T36" s="65"/>
      <c r="U36" s="65"/>
      <c r="V36" s="65"/>
      <c r="W36" s="65"/>
      <c r="X36" s="65"/>
      <c r="Y36" s="65"/>
      <c r="Z36" s="65"/>
    </row>
    <row r="37" spans="1:26" ht="12.75" customHeight="1">
      <c r="A37" s="64" t="s">
        <v>706</v>
      </c>
      <c r="B37" s="65" t="s">
        <v>707</v>
      </c>
      <c r="C37" s="65" t="s">
        <v>773</v>
      </c>
      <c r="D37" s="65" t="s">
        <v>713</v>
      </c>
      <c r="E37" s="65" t="s">
        <v>724</v>
      </c>
      <c r="F37" s="65"/>
      <c r="G37" s="65"/>
      <c r="H37" s="65"/>
      <c r="I37" s="65" t="s">
        <v>781</v>
      </c>
      <c r="J37" s="65" t="s">
        <v>125</v>
      </c>
      <c r="K37" s="65"/>
      <c r="L37" s="65"/>
      <c r="M37" s="65"/>
      <c r="N37" s="65"/>
      <c r="O37" s="65"/>
      <c r="P37" s="65"/>
      <c r="Q37" s="65"/>
      <c r="R37" s="65"/>
      <c r="S37" s="65"/>
      <c r="T37" s="65"/>
      <c r="U37" s="65"/>
      <c r="V37" s="65"/>
      <c r="W37" s="65"/>
      <c r="X37" s="65"/>
      <c r="Y37" s="65"/>
      <c r="Z37" s="65"/>
    </row>
    <row r="38" spans="1:26" ht="12.75" customHeight="1">
      <c r="A38" s="64" t="s">
        <v>706</v>
      </c>
      <c r="B38" s="65" t="s">
        <v>707</v>
      </c>
      <c r="C38" s="65" t="s">
        <v>773</v>
      </c>
      <c r="D38" s="65" t="s">
        <v>726</v>
      </c>
      <c r="E38" s="65" t="s">
        <v>727</v>
      </c>
      <c r="F38" s="65"/>
      <c r="G38" s="65"/>
      <c r="H38" s="65"/>
      <c r="I38" s="65" t="s">
        <v>782</v>
      </c>
      <c r="J38" s="65" t="s">
        <v>125</v>
      </c>
      <c r="K38" s="65"/>
      <c r="L38" s="65"/>
      <c r="M38" s="65"/>
      <c r="N38" s="65"/>
      <c r="O38" s="65"/>
      <c r="P38" s="65"/>
      <c r="Q38" s="65"/>
      <c r="R38" s="65"/>
      <c r="S38" s="65"/>
      <c r="T38" s="65"/>
      <c r="U38" s="65"/>
      <c r="V38" s="65"/>
      <c r="W38" s="65"/>
      <c r="X38" s="65"/>
      <c r="Y38" s="65"/>
      <c r="Z38" s="65"/>
    </row>
    <row r="39" spans="1:26" ht="12.75" customHeight="1">
      <c r="A39" s="64" t="s">
        <v>706</v>
      </c>
      <c r="B39" s="65" t="s">
        <v>707</v>
      </c>
      <c r="C39" s="65" t="s">
        <v>773</v>
      </c>
      <c r="D39" s="65" t="s">
        <v>726</v>
      </c>
      <c r="E39" s="65" t="s">
        <v>730</v>
      </c>
      <c r="F39" s="65"/>
      <c r="G39" s="65"/>
      <c r="H39" s="65"/>
      <c r="I39" s="65" t="s">
        <v>783</v>
      </c>
      <c r="J39" s="65" t="s">
        <v>125</v>
      </c>
      <c r="K39" s="65"/>
      <c r="L39" s="65"/>
      <c r="M39" s="65"/>
      <c r="N39" s="65"/>
      <c r="O39" s="65"/>
      <c r="P39" s="65"/>
      <c r="Q39" s="65"/>
      <c r="R39" s="65"/>
      <c r="S39" s="65"/>
      <c r="T39" s="65"/>
      <c r="U39" s="65"/>
      <c r="V39" s="65"/>
      <c r="W39" s="65"/>
      <c r="X39" s="65"/>
      <c r="Y39" s="65"/>
      <c r="Z39" s="65"/>
    </row>
    <row r="40" spans="1:26" ht="12.75" customHeight="1">
      <c r="A40" s="64" t="s">
        <v>706</v>
      </c>
      <c r="B40" s="65" t="s">
        <v>707</v>
      </c>
      <c r="C40" s="65" t="s">
        <v>773</v>
      </c>
      <c r="D40" s="65" t="s">
        <v>726</v>
      </c>
      <c r="E40" s="65" t="s">
        <v>732</v>
      </c>
      <c r="F40" s="65"/>
      <c r="G40" s="65"/>
      <c r="H40" s="65"/>
      <c r="I40" s="65" t="s">
        <v>784</v>
      </c>
      <c r="J40" s="65" t="s">
        <v>125</v>
      </c>
      <c r="K40" s="65"/>
      <c r="L40" s="65"/>
      <c r="M40" s="65"/>
      <c r="N40" s="65"/>
      <c r="O40" s="65"/>
      <c r="P40" s="65"/>
      <c r="Q40" s="65"/>
      <c r="R40" s="65"/>
      <c r="S40" s="65"/>
      <c r="T40" s="65"/>
      <c r="U40" s="65"/>
      <c r="V40" s="65"/>
      <c r="W40" s="65"/>
      <c r="X40" s="65"/>
      <c r="Y40" s="65"/>
      <c r="Z40" s="65"/>
    </row>
    <row r="41" spans="1:26" ht="12.75" customHeight="1">
      <c r="A41" s="64" t="s">
        <v>706</v>
      </c>
      <c r="B41" s="65" t="s">
        <v>707</v>
      </c>
      <c r="C41" s="65" t="s">
        <v>773</v>
      </c>
      <c r="D41" s="65" t="s">
        <v>726</v>
      </c>
      <c r="E41" s="65" t="s">
        <v>734</v>
      </c>
      <c r="F41" s="65"/>
      <c r="G41" s="65"/>
      <c r="H41" s="65"/>
      <c r="I41" s="65" t="s">
        <v>785</v>
      </c>
      <c r="J41" s="65" t="s">
        <v>125</v>
      </c>
      <c r="K41" s="65"/>
      <c r="L41" s="65"/>
      <c r="M41" s="65"/>
      <c r="N41" s="65"/>
      <c r="O41" s="65"/>
      <c r="P41" s="65"/>
      <c r="Q41" s="65"/>
      <c r="R41" s="65"/>
      <c r="S41" s="65"/>
      <c r="T41" s="65"/>
      <c r="U41" s="65"/>
      <c r="V41" s="65"/>
      <c r="W41" s="65"/>
      <c r="X41" s="65"/>
      <c r="Y41" s="65"/>
      <c r="Z41" s="65"/>
    </row>
    <row r="42" spans="1:26" ht="12.75" customHeight="1">
      <c r="A42" s="64" t="s">
        <v>706</v>
      </c>
      <c r="B42" s="65" t="s">
        <v>707</v>
      </c>
      <c r="C42" s="65" t="s">
        <v>773</v>
      </c>
      <c r="D42" s="65" t="s">
        <v>738</v>
      </c>
      <c r="E42" s="65" t="s">
        <v>739</v>
      </c>
      <c r="F42" s="65"/>
      <c r="G42" s="65"/>
      <c r="H42" s="65"/>
      <c r="I42" s="65" t="s">
        <v>786</v>
      </c>
      <c r="J42" s="65" t="s">
        <v>125</v>
      </c>
      <c r="K42" s="65"/>
      <c r="L42" s="65"/>
      <c r="M42" s="65"/>
      <c r="N42" s="65"/>
      <c r="O42" s="65"/>
      <c r="P42" s="65"/>
      <c r="Q42" s="65"/>
      <c r="R42" s="65"/>
      <c r="S42" s="65"/>
      <c r="T42" s="65"/>
      <c r="U42" s="65"/>
      <c r="V42" s="65"/>
      <c r="W42" s="65"/>
      <c r="X42" s="65"/>
      <c r="Y42" s="65"/>
      <c r="Z42" s="65"/>
    </row>
    <row r="43" spans="1:26" ht="12.75" customHeight="1">
      <c r="A43" s="64" t="s">
        <v>706</v>
      </c>
      <c r="B43" s="65" t="s">
        <v>707</v>
      </c>
      <c r="C43" s="65" t="s">
        <v>773</v>
      </c>
      <c r="D43" s="65" t="s">
        <v>738</v>
      </c>
      <c r="E43" s="65" t="s">
        <v>741</v>
      </c>
      <c r="F43" s="65"/>
      <c r="G43" s="65"/>
      <c r="H43" s="65"/>
      <c r="I43" s="65" t="s">
        <v>787</v>
      </c>
      <c r="J43" s="65" t="s">
        <v>125</v>
      </c>
      <c r="K43" s="65"/>
      <c r="L43" s="65"/>
      <c r="M43" s="65"/>
      <c r="N43" s="65"/>
      <c r="O43" s="65"/>
      <c r="P43" s="65"/>
      <c r="Q43" s="65"/>
      <c r="R43" s="65"/>
      <c r="S43" s="65"/>
      <c r="T43" s="65"/>
      <c r="U43" s="65"/>
      <c r="V43" s="65"/>
      <c r="W43" s="65"/>
      <c r="X43" s="65"/>
      <c r="Y43" s="65"/>
      <c r="Z43" s="65"/>
    </row>
    <row r="44" spans="1:26" ht="12.75" customHeight="1">
      <c r="A44" s="64" t="s">
        <v>706</v>
      </c>
      <c r="B44" s="65" t="s">
        <v>707</v>
      </c>
      <c r="C44" s="65" t="s">
        <v>773</v>
      </c>
      <c r="D44" s="65" t="s">
        <v>738</v>
      </c>
      <c r="E44" s="65" t="s">
        <v>743</v>
      </c>
      <c r="F44" s="65"/>
      <c r="G44" s="65"/>
      <c r="H44" s="65"/>
      <c r="I44" s="65" t="s">
        <v>788</v>
      </c>
      <c r="J44" s="65" t="s">
        <v>125</v>
      </c>
      <c r="K44" s="65"/>
      <c r="L44" s="65"/>
      <c r="M44" s="65"/>
      <c r="N44" s="65"/>
      <c r="O44" s="65"/>
      <c r="P44" s="65"/>
      <c r="Q44" s="65"/>
      <c r="R44" s="65"/>
      <c r="S44" s="65"/>
      <c r="T44" s="65"/>
      <c r="U44" s="65"/>
      <c r="V44" s="65"/>
      <c r="W44" s="65"/>
      <c r="X44" s="65"/>
      <c r="Y44" s="65"/>
      <c r="Z44" s="65"/>
    </row>
    <row r="45" spans="1:26" ht="12.75" customHeight="1">
      <c r="A45" s="64" t="s">
        <v>706</v>
      </c>
      <c r="B45" s="65" t="s">
        <v>707</v>
      </c>
      <c r="C45" s="65" t="s">
        <v>773</v>
      </c>
      <c r="D45" s="65" t="s">
        <v>738</v>
      </c>
      <c r="E45" s="65" t="s">
        <v>747</v>
      </c>
      <c r="F45" s="65"/>
      <c r="G45" s="65"/>
      <c r="H45" s="65"/>
      <c r="I45" s="65" t="s">
        <v>789</v>
      </c>
      <c r="J45" s="65" t="s">
        <v>125</v>
      </c>
      <c r="K45" s="65"/>
      <c r="L45" s="65"/>
      <c r="M45" s="65"/>
      <c r="N45" s="65"/>
      <c r="O45" s="65"/>
      <c r="P45" s="65"/>
      <c r="Q45" s="65"/>
      <c r="R45" s="65"/>
      <c r="S45" s="65"/>
      <c r="T45" s="65"/>
      <c r="U45" s="65"/>
      <c r="V45" s="65"/>
      <c r="W45" s="65"/>
      <c r="X45" s="65"/>
      <c r="Y45" s="65"/>
      <c r="Z45" s="65"/>
    </row>
    <row r="46" spans="1:26" ht="12.75" customHeight="1">
      <c r="A46" s="64" t="s">
        <v>706</v>
      </c>
      <c r="B46" s="65" t="s">
        <v>707</v>
      </c>
      <c r="C46" s="65" t="s">
        <v>773</v>
      </c>
      <c r="D46" s="65" t="s">
        <v>738</v>
      </c>
      <c r="E46" s="65" t="s">
        <v>749</v>
      </c>
      <c r="F46" s="65"/>
      <c r="G46" s="65"/>
      <c r="H46" s="65"/>
      <c r="I46" s="65" t="s">
        <v>790</v>
      </c>
      <c r="J46" s="65" t="s">
        <v>125</v>
      </c>
      <c r="K46" s="65"/>
      <c r="L46" s="65"/>
      <c r="M46" s="65"/>
      <c r="N46" s="65"/>
      <c r="O46" s="65"/>
      <c r="P46" s="65"/>
      <c r="Q46" s="65"/>
      <c r="R46" s="65"/>
      <c r="S46" s="65"/>
      <c r="T46" s="65"/>
      <c r="U46" s="65"/>
      <c r="V46" s="65"/>
      <c r="W46" s="65"/>
      <c r="X46" s="65"/>
      <c r="Y46" s="65"/>
      <c r="Z46" s="65"/>
    </row>
    <row r="47" spans="1:26" ht="12.75" customHeight="1">
      <c r="A47" s="64" t="s">
        <v>706</v>
      </c>
      <c r="B47" s="65" t="s">
        <v>707</v>
      </c>
      <c r="C47" s="65" t="s">
        <v>773</v>
      </c>
      <c r="D47" s="65" t="s">
        <v>738</v>
      </c>
      <c r="E47" s="65" t="s">
        <v>751</v>
      </c>
      <c r="F47" s="65"/>
      <c r="G47" s="65"/>
      <c r="H47" s="65"/>
      <c r="I47" s="65" t="s">
        <v>791</v>
      </c>
      <c r="J47" s="65" t="s">
        <v>125</v>
      </c>
      <c r="K47" s="65"/>
      <c r="L47" s="65"/>
      <c r="M47" s="65"/>
      <c r="N47" s="65"/>
      <c r="O47" s="65"/>
      <c r="P47" s="65"/>
      <c r="Q47" s="65"/>
      <c r="R47" s="65"/>
      <c r="S47" s="65"/>
      <c r="T47" s="65"/>
      <c r="U47" s="65"/>
      <c r="V47" s="65"/>
      <c r="W47" s="65"/>
      <c r="X47" s="65"/>
      <c r="Y47" s="65"/>
      <c r="Z47" s="65"/>
    </row>
    <row r="48" spans="1:26" ht="12.75" customHeight="1">
      <c r="A48" s="64" t="s">
        <v>706</v>
      </c>
      <c r="B48" s="65" t="s">
        <v>707</v>
      </c>
      <c r="C48" s="65" t="s">
        <v>773</v>
      </c>
      <c r="D48" s="65" t="s">
        <v>738</v>
      </c>
      <c r="E48" s="65" t="s">
        <v>753</v>
      </c>
      <c r="F48" s="65"/>
      <c r="G48" s="65"/>
      <c r="H48" s="65"/>
      <c r="I48" s="65" t="s">
        <v>792</v>
      </c>
      <c r="J48" s="65" t="s">
        <v>125</v>
      </c>
      <c r="K48" s="65"/>
      <c r="L48" s="65"/>
      <c r="M48" s="65"/>
      <c r="N48" s="65"/>
      <c r="O48" s="65"/>
      <c r="P48" s="65"/>
      <c r="Q48" s="65"/>
      <c r="R48" s="65"/>
      <c r="S48" s="65"/>
      <c r="T48" s="65"/>
      <c r="U48" s="65"/>
      <c r="V48" s="65"/>
      <c r="W48" s="65"/>
      <c r="X48" s="65"/>
      <c r="Y48" s="65"/>
      <c r="Z48" s="65"/>
    </row>
    <row r="49" spans="1:26" ht="12.75" customHeight="1">
      <c r="A49" s="64" t="s">
        <v>706</v>
      </c>
      <c r="B49" s="65" t="s">
        <v>707</v>
      </c>
      <c r="C49" s="65" t="s">
        <v>773</v>
      </c>
      <c r="D49" s="65" t="s">
        <v>738</v>
      </c>
      <c r="E49" s="65" t="s">
        <v>755</v>
      </c>
      <c r="F49" s="65"/>
      <c r="G49" s="65"/>
      <c r="H49" s="65"/>
      <c r="I49" s="65" t="s">
        <v>793</v>
      </c>
      <c r="J49" s="65" t="s">
        <v>125</v>
      </c>
      <c r="K49" s="65"/>
      <c r="L49" s="65"/>
      <c r="M49" s="65"/>
      <c r="N49" s="65"/>
      <c r="O49" s="65"/>
      <c r="P49" s="65"/>
      <c r="Q49" s="65"/>
      <c r="R49" s="65"/>
      <c r="S49" s="65"/>
      <c r="T49" s="65"/>
      <c r="U49" s="65"/>
      <c r="V49" s="65"/>
      <c r="W49" s="65"/>
      <c r="X49" s="65"/>
      <c r="Y49" s="65"/>
      <c r="Z49" s="65"/>
    </row>
    <row r="50" spans="1:26" ht="12.75" customHeight="1">
      <c r="A50" s="64" t="s">
        <v>706</v>
      </c>
      <c r="B50" s="65" t="s">
        <v>707</v>
      </c>
      <c r="C50" s="65" t="s">
        <v>773</v>
      </c>
      <c r="D50" s="65" t="s">
        <v>738</v>
      </c>
      <c r="E50" s="65" t="s">
        <v>794</v>
      </c>
      <c r="F50" s="65" t="s">
        <v>794</v>
      </c>
      <c r="G50" s="65"/>
      <c r="H50" s="65"/>
      <c r="I50" s="65" t="s">
        <v>795</v>
      </c>
      <c r="J50" s="65" t="s">
        <v>125</v>
      </c>
      <c r="K50" s="65"/>
      <c r="L50" s="65"/>
      <c r="M50" s="65"/>
      <c r="N50" s="65"/>
      <c r="O50" s="65"/>
      <c r="P50" s="65"/>
      <c r="Q50" s="65"/>
      <c r="R50" s="65"/>
      <c r="S50" s="65"/>
      <c r="T50" s="65"/>
      <c r="U50" s="65"/>
      <c r="V50" s="65"/>
      <c r="W50" s="65"/>
      <c r="X50" s="65"/>
      <c r="Y50" s="65"/>
      <c r="Z50" s="65"/>
    </row>
    <row r="51" spans="1:26" ht="12.75" customHeight="1">
      <c r="A51" s="64" t="s">
        <v>706</v>
      </c>
      <c r="B51" s="65" t="s">
        <v>707</v>
      </c>
      <c r="C51" s="65" t="s">
        <v>773</v>
      </c>
      <c r="D51" s="65" t="s">
        <v>738</v>
      </c>
      <c r="E51" s="65" t="s">
        <v>761</v>
      </c>
      <c r="F51" s="65"/>
      <c r="G51" s="65"/>
      <c r="H51" s="65"/>
      <c r="I51" s="65" t="s">
        <v>796</v>
      </c>
      <c r="J51" s="65" t="s">
        <v>125</v>
      </c>
      <c r="K51" s="65"/>
      <c r="L51" s="65"/>
      <c r="M51" s="65"/>
      <c r="N51" s="65"/>
      <c r="O51" s="65"/>
      <c r="P51" s="65"/>
      <c r="Q51" s="65"/>
      <c r="R51" s="65"/>
      <c r="S51" s="65"/>
      <c r="T51" s="65"/>
      <c r="U51" s="65"/>
      <c r="V51" s="65"/>
      <c r="W51" s="65"/>
      <c r="X51" s="65"/>
      <c r="Y51" s="65"/>
      <c r="Z51" s="65"/>
    </row>
    <row r="52" spans="1:26" ht="12.75" customHeight="1">
      <c r="A52" s="64" t="s">
        <v>706</v>
      </c>
      <c r="B52" s="65" t="s">
        <v>707</v>
      </c>
      <c r="C52" s="65" t="s">
        <v>773</v>
      </c>
      <c r="D52" s="65" t="s">
        <v>738</v>
      </c>
      <c r="E52" s="65" t="s">
        <v>763</v>
      </c>
      <c r="F52" s="65" t="s">
        <v>763</v>
      </c>
      <c r="G52" s="65"/>
      <c r="H52" s="65"/>
      <c r="I52" s="65" t="s">
        <v>797</v>
      </c>
      <c r="J52" s="65" t="s">
        <v>125</v>
      </c>
      <c r="K52" s="65"/>
      <c r="L52" s="65"/>
      <c r="M52" s="65"/>
      <c r="N52" s="65"/>
      <c r="O52" s="65"/>
      <c r="P52" s="65"/>
      <c r="Q52" s="65"/>
      <c r="R52" s="65"/>
      <c r="S52" s="65"/>
      <c r="T52" s="65"/>
      <c r="U52" s="65"/>
      <c r="V52" s="65"/>
      <c r="W52" s="65"/>
      <c r="X52" s="65"/>
      <c r="Y52" s="65"/>
      <c r="Z52" s="65"/>
    </row>
    <row r="53" spans="1:26" ht="12.75" customHeight="1">
      <c r="A53" s="64" t="s">
        <v>706</v>
      </c>
      <c r="B53" s="65" t="s">
        <v>707</v>
      </c>
      <c r="C53" s="65" t="s">
        <v>773</v>
      </c>
      <c r="D53" s="65" t="s">
        <v>738</v>
      </c>
      <c r="E53" s="65" t="s">
        <v>765</v>
      </c>
      <c r="F53" s="65"/>
      <c r="G53" s="65"/>
      <c r="H53" s="65"/>
      <c r="I53" s="65" t="s">
        <v>798</v>
      </c>
      <c r="J53" s="65" t="s">
        <v>125</v>
      </c>
      <c r="K53" s="65"/>
      <c r="L53" s="65"/>
      <c r="M53" s="65"/>
      <c r="N53" s="65"/>
      <c r="O53" s="65"/>
      <c r="P53" s="65"/>
      <c r="Q53" s="65"/>
      <c r="R53" s="65"/>
      <c r="S53" s="65"/>
      <c r="T53" s="65"/>
      <c r="U53" s="65"/>
      <c r="V53" s="65"/>
      <c r="W53" s="65"/>
      <c r="X53" s="65"/>
      <c r="Y53" s="65"/>
      <c r="Z53" s="65"/>
    </row>
    <row r="54" spans="1:26" ht="12.75" customHeight="1">
      <c r="A54" s="64" t="s">
        <v>706</v>
      </c>
      <c r="B54" s="65" t="s">
        <v>707</v>
      </c>
      <c r="C54" s="65" t="s">
        <v>773</v>
      </c>
      <c r="D54" s="65" t="s">
        <v>738</v>
      </c>
      <c r="E54" s="65" t="s">
        <v>767</v>
      </c>
      <c r="F54" s="65"/>
      <c r="G54" s="65"/>
      <c r="H54" s="65"/>
      <c r="I54" s="65" t="s">
        <v>799</v>
      </c>
      <c r="J54" s="65" t="s">
        <v>125</v>
      </c>
      <c r="K54" s="65"/>
      <c r="L54" s="65"/>
      <c r="M54" s="65"/>
      <c r="N54" s="65"/>
      <c r="O54" s="65"/>
      <c r="P54" s="65"/>
      <c r="Q54" s="65"/>
      <c r="R54" s="65"/>
      <c r="S54" s="65"/>
      <c r="T54" s="65"/>
      <c r="U54" s="65"/>
      <c r="V54" s="65"/>
      <c r="W54" s="65"/>
      <c r="X54" s="65"/>
      <c r="Y54" s="65"/>
      <c r="Z54" s="65"/>
    </row>
    <row r="55" spans="1:26" ht="12.75" customHeight="1">
      <c r="A55" s="64" t="s">
        <v>706</v>
      </c>
      <c r="B55" s="65" t="s">
        <v>707</v>
      </c>
      <c r="C55" s="65" t="s">
        <v>773</v>
      </c>
      <c r="D55" s="65" t="s">
        <v>738</v>
      </c>
      <c r="E55" s="65" t="s">
        <v>769</v>
      </c>
      <c r="F55" s="65"/>
      <c r="G55" s="65"/>
      <c r="H55" s="65"/>
      <c r="I55" s="65" t="s">
        <v>800</v>
      </c>
      <c r="J55" s="65" t="s">
        <v>125</v>
      </c>
      <c r="K55" s="65"/>
      <c r="L55" s="65"/>
      <c r="M55" s="65"/>
      <c r="N55" s="65"/>
      <c r="O55" s="65"/>
      <c r="P55" s="65"/>
      <c r="Q55" s="65"/>
      <c r="R55" s="65"/>
      <c r="S55" s="65"/>
      <c r="T55" s="65"/>
      <c r="U55" s="65"/>
      <c r="V55" s="65"/>
      <c r="W55" s="65"/>
      <c r="X55" s="65"/>
      <c r="Y55" s="65"/>
      <c r="Z55" s="65"/>
    </row>
    <row r="56" spans="1:26" ht="12.75" customHeight="1">
      <c r="A56" s="64" t="s">
        <v>706</v>
      </c>
      <c r="B56" s="65" t="s">
        <v>707</v>
      </c>
      <c r="C56" s="65" t="s">
        <v>773</v>
      </c>
      <c r="D56" s="65" t="s">
        <v>738</v>
      </c>
      <c r="E56" s="65" t="s">
        <v>801</v>
      </c>
      <c r="F56" s="65"/>
      <c r="G56" s="65"/>
      <c r="H56" s="65"/>
      <c r="I56" s="65" t="s">
        <v>802</v>
      </c>
      <c r="J56" s="65" t="s">
        <v>125</v>
      </c>
      <c r="K56" s="65"/>
      <c r="L56" s="65"/>
      <c r="M56" s="65"/>
      <c r="N56" s="65"/>
      <c r="O56" s="65"/>
      <c r="P56" s="65"/>
      <c r="Q56" s="65"/>
      <c r="R56" s="65"/>
      <c r="S56" s="65"/>
      <c r="T56" s="65"/>
      <c r="U56" s="65"/>
      <c r="V56" s="65"/>
      <c r="W56" s="65"/>
      <c r="X56" s="65"/>
      <c r="Y56" s="65"/>
      <c r="Z56" s="65"/>
    </row>
    <row r="57" spans="1:26" ht="12.75" customHeight="1">
      <c r="A57" s="64" t="s">
        <v>706</v>
      </c>
      <c r="B57" s="65" t="s">
        <v>707</v>
      </c>
      <c r="C57" s="65" t="s">
        <v>773</v>
      </c>
      <c r="D57" s="65" t="s">
        <v>738</v>
      </c>
      <c r="E57" s="65" t="s">
        <v>771</v>
      </c>
      <c r="F57" s="65"/>
      <c r="G57" s="65"/>
      <c r="H57" s="65"/>
      <c r="I57" s="65" t="s">
        <v>803</v>
      </c>
      <c r="J57" s="65" t="s">
        <v>125</v>
      </c>
      <c r="K57" s="65"/>
      <c r="L57" s="65"/>
      <c r="M57" s="65"/>
      <c r="N57" s="65"/>
      <c r="O57" s="65"/>
      <c r="P57" s="65"/>
      <c r="Q57" s="65"/>
      <c r="R57" s="65"/>
      <c r="S57" s="65"/>
      <c r="T57" s="65"/>
      <c r="U57" s="65"/>
      <c r="V57" s="65"/>
      <c r="W57" s="65"/>
      <c r="X57" s="65"/>
      <c r="Y57" s="65"/>
      <c r="Z57" s="65"/>
    </row>
    <row r="58" spans="1:26" ht="12.75" customHeight="1">
      <c r="A58" s="64" t="s">
        <v>706</v>
      </c>
      <c r="B58" s="65" t="s">
        <v>707</v>
      </c>
      <c r="C58" s="65" t="s">
        <v>804</v>
      </c>
      <c r="D58" s="65" t="s">
        <v>709</v>
      </c>
      <c r="E58" s="65" t="s">
        <v>709</v>
      </c>
      <c r="F58" s="65"/>
      <c r="G58" s="65"/>
      <c r="H58" s="65"/>
      <c r="I58" s="65" t="s">
        <v>805</v>
      </c>
      <c r="J58" s="65" t="s">
        <v>125</v>
      </c>
      <c r="K58" s="65"/>
      <c r="L58" s="65"/>
      <c r="M58" s="65"/>
      <c r="N58" s="65"/>
      <c r="O58" s="65"/>
      <c r="P58" s="65"/>
      <c r="Q58" s="65"/>
      <c r="R58" s="65"/>
      <c r="S58" s="65"/>
      <c r="T58" s="65"/>
      <c r="U58" s="65"/>
      <c r="V58" s="65"/>
      <c r="W58" s="65"/>
      <c r="X58" s="65"/>
      <c r="Y58" s="65"/>
      <c r="Z58" s="65"/>
    </row>
    <row r="59" spans="1:26" ht="12.75" customHeight="1">
      <c r="A59" s="64" t="s">
        <v>706</v>
      </c>
      <c r="B59" s="65" t="s">
        <v>707</v>
      </c>
      <c r="C59" s="65" t="s">
        <v>804</v>
      </c>
      <c r="D59" s="65" t="s">
        <v>726</v>
      </c>
      <c r="E59" s="65" t="s">
        <v>727</v>
      </c>
      <c r="F59" s="65"/>
      <c r="G59" s="65"/>
      <c r="H59" s="65"/>
      <c r="I59" s="65" t="s">
        <v>806</v>
      </c>
      <c r="J59" s="65" t="s">
        <v>125</v>
      </c>
      <c r="K59" s="65"/>
      <c r="L59" s="65"/>
      <c r="M59" s="65"/>
      <c r="N59" s="65"/>
      <c r="O59" s="65"/>
      <c r="P59" s="65"/>
      <c r="Q59" s="65"/>
      <c r="R59" s="65"/>
      <c r="S59" s="65"/>
      <c r="T59" s="65"/>
      <c r="U59" s="65"/>
      <c r="V59" s="65"/>
      <c r="W59" s="65"/>
      <c r="X59" s="65"/>
      <c r="Y59" s="65"/>
      <c r="Z59" s="65"/>
    </row>
    <row r="60" spans="1:26" ht="12.75" customHeight="1">
      <c r="A60" s="64" t="s">
        <v>706</v>
      </c>
      <c r="B60" s="65" t="s">
        <v>707</v>
      </c>
      <c r="C60" s="65" t="s">
        <v>804</v>
      </c>
      <c r="D60" s="65" t="s">
        <v>726</v>
      </c>
      <c r="E60" s="65" t="s">
        <v>730</v>
      </c>
      <c r="F60" s="65"/>
      <c r="G60" s="65"/>
      <c r="H60" s="65"/>
      <c r="I60" s="65" t="s">
        <v>807</v>
      </c>
      <c r="J60" s="65" t="s">
        <v>125</v>
      </c>
      <c r="K60" s="65"/>
      <c r="L60" s="65"/>
      <c r="M60" s="65"/>
      <c r="N60" s="65"/>
      <c r="O60" s="65"/>
      <c r="P60" s="65"/>
      <c r="Q60" s="65"/>
      <c r="R60" s="65"/>
      <c r="S60" s="65"/>
      <c r="T60" s="65"/>
      <c r="U60" s="65"/>
      <c r="V60" s="65"/>
      <c r="W60" s="65"/>
      <c r="X60" s="65"/>
      <c r="Y60" s="65"/>
      <c r="Z60" s="65"/>
    </row>
    <row r="61" spans="1:26" ht="12.75" customHeight="1">
      <c r="A61" s="64" t="s">
        <v>706</v>
      </c>
      <c r="B61" s="65" t="s">
        <v>707</v>
      </c>
      <c r="C61" s="65" t="s">
        <v>804</v>
      </c>
      <c r="D61" s="65" t="s">
        <v>738</v>
      </c>
      <c r="E61" s="65" t="s">
        <v>739</v>
      </c>
      <c r="F61" s="65"/>
      <c r="G61" s="65"/>
      <c r="H61" s="65"/>
      <c r="I61" s="65" t="s">
        <v>808</v>
      </c>
      <c r="J61" s="65" t="s">
        <v>125</v>
      </c>
      <c r="K61" s="65"/>
      <c r="L61" s="65"/>
      <c r="M61" s="65"/>
      <c r="N61" s="65"/>
      <c r="O61" s="65"/>
      <c r="P61" s="65"/>
      <c r="Q61" s="65"/>
      <c r="R61" s="65"/>
      <c r="S61" s="65"/>
      <c r="T61" s="65"/>
      <c r="U61" s="65"/>
      <c r="V61" s="65"/>
      <c r="W61" s="65"/>
      <c r="X61" s="65"/>
      <c r="Y61" s="65"/>
      <c r="Z61" s="65"/>
    </row>
    <row r="62" spans="1:26" ht="12.75" customHeight="1">
      <c r="A62" s="64" t="s">
        <v>706</v>
      </c>
      <c r="B62" s="65" t="s">
        <v>707</v>
      </c>
      <c r="C62" s="65" t="s">
        <v>804</v>
      </c>
      <c r="D62" s="65" t="s">
        <v>738</v>
      </c>
      <c r="E62" s="65" t="s">
        <v>801</v>
      </c>
      <c r="F62" s="65"/>
      <c r="G62" s="65"/>
      <c r="H62" s="65"/>
      <c r="I62" s="65" t="s">
        <v>809</v>
      </c>
      <c r="J62" s="65" t="s">
        <v>125</v>
      </c>
      <c r="K62" s="65"/>
      <c r="L62" s="65"/>
      <c r="M62" s="65"/>
      <c r="N62" s="65"/>
      <c r="O62" s="65"/>
      <c r="P62" s="65"/>
      <c r="Q62" s="65"/>
      <c r="R62" s="65"/>
      <c r="S62" s="65"/>
      <c r="T62" s="65"/>
      <c r="U62" s="65"/>
      <c r="V62" s="65"/>
      <c r="W62" s="65"/>
      <c r="X62" s="65"/>
      <c r="Y62" s="65"/>
      <c r="Z62" s="65"/>
    </row>
    <row r="63" spans="1:26" ht="12.75" customHeight="1">
      <c r="A63" s="64" t="s">
        <v>706</v>
      </c>
      <c r="B63" s="65" t="s">
        <v>707</v>
      </c>
      <c r="C63" s="65" t="s">
        <v>810</v>
      </c>
      <c r="D63" s="65" t="s">
        <v>709</v>
      </c>
      <c r="E63" s="65" t="s">
        <v>811</v>
      </c>
      <c r="F63" s="65"/>
      <c r="G63" s="65"/>
      <c r="H63" s="65"/>
      <c r="I63" s="65" t="s">
        <v>812</v>
      </c>
      <c r="J63" s="65" t="s">
        <v>125</v>
      </c>
      <c r="K63" s="65"/>
      <c r="L63" s="65"/>
      <c r="M63" s="65"/>
      <c r="N63" s="65"/>
      <c r="O63" s="65"/>
      <c r="P63" s="65"/>
      <c r="Q63" s="65"/>
      <c r="R63" s="65"/>
      <c r="S63" s="65"/>
      <c r="T63" s="65"/>
      <c r="U63" s="65"/>
      <c r="V63" s="65"/>
      <c r="W63" s="65"/>
      <c r="X63" s="65"/>
      <c r="Y63" s="65"/>
      <c r="Z63" s="65"/>
    </row>
    <row r="64" spans="1:26" ht="12.75" customHeight="1">
      <c r="A64" s="64" t="s">
        <v>706</v>
      </c>
      <c r="B64" s="65" t="s">
        <v>707</v>
      </c>
      <c r="C64" s="65" t="s">
        <v>810</v>
      </c>
      <c r="D64" s="65" t="s">
        <v>709</v>
      </c>
      <c r="E64" s="65" t="s">
        <v>813</v>
      </c>
      <c r="F64" s="65"/>
      <c r="G64" s="65"/>
      <c r="H64" s="65"/>
      <c r="I64" s="65" t="s">
        <v>814</v>
      </c>
      <c r="J64" s="65" t="s">
        <v>125</v>
      </c>
      <c r="K64" s="65"/>
      <c r="L64" s="65"/>
      <c r="M64" s="65"/>
      <c r="N64" s="65"/>
      <c r="O64" s="65"/>
      <c r="P64" s="65"/>
      <c r="Q64" s="65"/>
      <c r="R64" s="65"/>
      <c r="S64" s="65"/>
      <c r="T64" s="65"/>
      <c r="U64" s="65"/>
      <c r="V64" s="65"/>
      <c r="W64" s="65"/>
      <c r="X64" s="65"/>
      <c r="Y64" s="65"/>
      <c r="Z64" s="65"/>
    </row>
    <row r="65" spans="1:26" ht="12.75" customHeight="1">
      <c r="A65" s="64" t="s">
        <v>706</v>
      </c>
      <c r="B65" s="65" t="s">
        <v>707</v>
      </c>
      <c r="C65" s="65" t="s">
        <v>810</v>
      </c>
      <c r="D65" s="65" t="s">
        <v>726</v>
      </c>
      <c r="E65" s="65" t="s">
        <v>815</v>
      </c>
      <c r="F65" s="65"/>
      <c r="G65" s="65" t="s">
        <v>728</v>
      </c>
      <c r="H65" s="65"/>
      <c r="I65" s="65" t="s">
        <v>816</v>
      </c>
      <c r="J65" s="65" t="s">
        <v>125</v>
      </c>
      <c r="K65" s="65"/>
      <c r="L65" s="65"/>
      <c r="M65" s="65"/>
      <c r="N65" s="65"/>
      <c r="O65" s="65"/>
      <c r="P65" s="65"/>
      <c r="Q65" s="65"/>
      <c r="R65" s="65"/>
      <c r="S65" s="65"/>
      <c r="T65" s="65"/>
      <c r="U65" s="65"/>
      <c r="V65" s="65"/>
      <c r="W65" s="65"/>
      <c r="X65" s="65"/>
      <c r="Y65" s="65"/>
      <c r="Z65" s="65"/>
    </row>
    <row r="66" spans="1:26" ht="12.75" customHeight="1">
      <c r="A66" s="64" t="s">
        <v>706</v>
      </c>
      <c r="B66" s="65" t="s">
        <v>707</v>
      </c>
      <c r="C66" s="65" t="s">
        <v>810</v>
      </c>
      <c r="D66" s="65" t="s">
        <v>709</v>
      </c>
      <c r="E66" s="65" t="s">
        <v>815</v>
      </c>
      <c r="F66" s="65"/>
      <c r="G66" s="65"/>
      <c r="H66" s="65"/>
      <c r="I66" s="65" t="s">
        <v>816</v>
      </c>
      <c r="J66" s="65" t="s">
        <v>125</v>
      </c>
      <c r="K66" s="65"/>
      <c r="L66" s="65"/>
      <c r="M66" s="65"/>
      <c r="N66" s="65"/>
      <c r="O66" s="65"/>
      <c r="P66" s="65"/>
      <c r="Q66" s="65"/>
      <c r="R66" s="65"/>
      <c r="S66" s="65"/>
      <c r="T66" s="65"/>
      <c r="U66" s="65"/>
      <c r="V66" s="65"/>
      <c r="W66" s="65"/>
      <c r="X66" s="65"/>
      <c r="Y66" s="65"/>
      <c r="Z66" s="65"/>
    </row>
    <row r="67" spans="1:26" ht="12.75" customHeight="1">
      <c r="A67" s="64" t="s">
        <v>706</v>
      </c>
      <c r="B67" s="65" t="s">
        <v>707</v>
      </c>
      <c r="C67" s="65" t="s">
        <v>810</v>
      </c>
      <c r="D67" s="65" t="s">
        <v>709</v>
      </c>
      <c r="E67" s="65" t="s">
        <v>817</v>
      </c>
      <c r="F67" s="65"/>
      <c r="G67" s="65"/>
      <c r="H67" s="65"/>
      <c r="I67" s="65" t="s">
        <v>818</v>
      </c>
      <c r="J67" s="65" t="s">
        <v>125</v>
      </c>
      <c r="K67" s="65"/>
      <c r="L67" s="65"/>
      <c r="M67" s="65"/>
      <c r="N67" s="65"/>
      <c r="O67" s="65"/>
      <c r="P67" s="65"/>
      <c r="Q67" s="65"/>
      <c r="R67" s="65"/>
      <c r="S67" s="65"/>
      <c r="T67" s="65"/>
      <c r="U67" s="65"/>
      <c r="V67" s="65"/>
      <c r="W67" s="65"/>
      <c r="X67" s="65"/>
      <c r="Y67" s="65"/>
      <c r="Z67" s="65"/>
    </row>
    <row r="68" spans="1:26" ht="12.75" customHeight="1">
      <c r="A68" s="64" t="s">
        <v>706</v>
      </c>
      <c r="B68" s="65" t="s">
        <v>707</v>
      </c>
      <c r="C68" s="65" t="s">
        <v>810</v>
      </c>
      <c r="D68" s="65" t="s">
        <v>709</v>
      </c>
      <c r="E68" s="65" t="s">
        <v>819</v>
      </c>
      <c r="F68" s="65"/>
      <c r="G68" s="65"/>
      <c r="H68" s="65"/>
      <c r="I68" s="65" t="s">
        <v>820</v>
      </c>
      <c r="J68" s="65" t="s">
        <v>125</v>
      </c>
      <c r="K68" s="65"/>
      <c r="L68" s="65"/>
      <c r="M68" s="65"/>
      <c r="N68" s="65"/>
      <c r="O68" s="65"/>
      <c r="P68" s="65"/>
      <c r="Q68" s="65"/>
      <c r="R68" s="65"/>
      <c r="S68" s="65"/>
      <c r="T68" s="65"/>
      <c r="U68" s="65"/>
      <c r="V68" s="65"/>
      <c r="W68" s="65"/>
      <c r="X68" s="65"/>
      <c r="Y68" s="65"/>
      <c r="Z68" s="65"/>
    </row>
    <row r="69" spans="1:26" ht="12.75" customHeight="1">
      <c r="A69" s="64" t="s">
        <v>706</v>
      </c>
      <c r="B69" s="65" t="s">
        <v>707</v>
      </c>
      <c r="C69" s="65" t="s">
        <v>810</v>
      </c>
      <c r="D69" s="65" t="s">
        <v>709</v>
      </c>
      <c r="E69" s="65" t="s">
        <v>821</v>
      </c>
      <c r="F69" s="65"/>
      <c r="G69" s="65"/>
      <c r="H69" s="65"/>
      <c r="I69" s="65" t="s">
        <v>822</v>
      </c>
      <c r="J69" s="65" t="s">
        <v>125</v>
      </c>
      <c r="K69" s="65"/>
      <c r="L69" s="65"/>
      <c r="M69" s="65"/>
      <c r="N69" s="65"/>
      <c r="O69" s="65"/>
      <c r="P69" s="65"/>
      <c r="Q69" s="65"/>
      <c r="R69" s="65"/>
      <c r="S69" s="65"/>
      <c r="T69" s="65"/>
      <c r="U69" s="65"/>
      <c r="V69" s="65"/>
      <c r="W69" s="65"/>
      <c r="X69" s="65"/>
      <c r="Y69" s="65"/>
      <c r="Z69" s="65"/>
    </row>
    <row r="70" spans="1:26" ht="12.75" customHeight="1">
      <c r="A70" s="64" t="s">
        <v>706</v>
      </c>
      <c r="B70" s="65" t="s">
        <v>707</v>
      </c>
      <c r="C70" s="65" t="s">
        <v>810</v>
      </c>
      <c r="D70" s="65" t="s">
        <v>709</v>
      </c>
      <c r="E70" s="65" t="s">
        <v>823</v>
      </c>
      <c r="F70" s="65"/>
      <c r="G70" s="65"/>
      <c r="H70" s="65"/>
      <c r="I70" s="65" t="s">
        <v>824</v>
      </c>
      <c r="J70" s="65" t="s">
        <v>125</v>
      </c>
      <c r="K70" s="65"/>
      <c r="L70" s="65"/>
      <c r="M70" s="65"/>
      <c r="N70" s="65"/>
      <c r="O70" s="65"/>
      <c r="P70" s="65"/>
      <c r="Q70" s="65"/>
      <c r="R70" s="65"/>
      <c r="S70" s="65"/>
      <c r="T70" s="65"/>
      <c r="U70" s="65"/>
      <c r="V70" s="65"/>
      <c r="W70" s="65"/>
      <c r="X70" s="65"/>
      <c r="Y70" s="65"/>
      <c r="Z70" s="65"/>
    </row>
    <row r="71" spans="1:26" ht="12.75" customHeight="1">
      <c r="A71" s="64" t="s">
        <v>706</v>
      </c>
      <c r="B71" s="65" t="s">
        <v>707</v>
      </c>
      <c r="C71" s="65" t="s">
        <v>810</v>
      </c>
      <c r="D71" s="65" t="s">
        <v>713</v>
      </c>
      <c r="E71" s="65" t="s">
        <v>486</v>
      </c>
      <c r="F71" s="65"/>
      <c r="G71" s="65"/>
      <c r="H71" s="65"/>
      <c r="I71" s="65" t="s">
        <v>825</v>
      </c>
      <c r="J71" s="65" t="s">
        <v>125</v>
      </c>
      <c r="K71" s="65"/>
      <c r="L71" s="65"/>
      <c r="M71" s="65"/>
      <c r="N71" s="65"/>
      <c r="O71" s="65"/>
      <c r="P71" s="65"/>
      <c r="Q71" s="65"/>
      <c r="R71" s="65"/>
      <c r="S71" s="65"/>
      <c r="T71" s="65"/>
      <c r="U71" s="65"/>
      <c r="V71" s="65"/>
      <c r="W71" s="65"/>
      <c r="X71" s="65"/>
      <c r="Y71" s="65"/>
      <c r="Z71" s="65"/>
    </row>
    <row r="72" spans="1:26" ht="12.75" customHeight="1">
      <c r="A72" s="64" t="s">
        <v>706</v>
      </c>
      <c r="B72" s="65" t="s">
        <v>707</v>
      </c>
      <c r="C72" s="65" t="s">
        <v>810</v>
      </c>
      <c r="D72" s="65" t="s">
        <v>709</v>
      </c>
      <c r="E72" s="65" t="s">
        <v>486</v>
      </c>
      <c r="F72" s="65"/>
      <c r="G72" s="65"/>
      <c r="H72" s="65"/>
      <c r="I72" s="65" t="s">
        <v>825</v>
      </c>
      <c r="J72" s="65" t="s">
        <v>125</v>
      </c>
      <c r="K72" s="65"/>
      <c r="L72" s="65"/>
      <c r="M72" s="65"/>
      <c r="N72" s="65"/>
      <c r="O72" s="65"/>
      <c r="P72" s="65"/>
      <c r="Q72" s="65"/>
      <c r="R72" s="65"/>
      <c r="S72" s="65"/>
      <c r="T72" s="65"/>
      <c r="U72" s="65"/>
      <c r="V72" s="65"/>
      <c r="W72" s="65"/>
      <c r="X72" s="65"/>
      <c r="Y72" s="65"/>
      <c r="Z72" s="65"/>
    </row>
    <row r="73" spans="1:26" ht="12.75" customHeight="1">
      <c r="A73" s="64" t="s">
        <v>706</v>
      </c>
      <c r="B73" s="65" t="s">
        <v>707</v>
      </c>
      <c r="C73" s="65" t="s">
        <v>810</v>
      </c>
      <c r="D73" s="65" t="s">
        <v>713</v>
      </c>
      <c r="E73" s="65" t="s">
        <v>724</v>
      </c>
      <c r="F73" s="65"/>
      <c r="G73" s="65"/>
      <c r="H73" s="65"/>
      <c r="I73" s="65" t="s">
        <v>826</v>
      </c>
      <c r="J73" s="65" t="s">
        <v>125</v>
      </c>
      <c r="K73" s="65"/>
      <c r="L73" s="65"/>
      <c r="M73" s="65"/>
      <c r="N73" s="65"/>
      <c r="O73" s="65"/>
      <c r="P73" s="65"/>
      <c r="Q73" s="65"/>
      <c r="R73" s="65"/>
      <c r="S73" s="65"/>
      <c r="T73" s="65"/>
      <c r="U73" s="65"/>
      <c r="V73" s="65"/>
      <c r="W73" s="65"/>
      <c r="X73" s="65"/>
      <c r="Y73" s="65"/>
      <c r="Z73" s="65"/>
    </row>
    <row r="74" spans="1:26" ht="12.75" customHeight="1">
      <c r="A74" s="64" t="s">
        <v>706</v>
      </c>
      <c r="B74" s="65" t="s">
        <v>707</v>
      </c>
      <c r="C74" s="65" t="s">
        <v>810</v>
      </c>
      <c r="D74" s="65" t="s">
        <v>713</v>
      </c>
      <c r="E74" s="65" t="s">
        <v>827</v>
      </c>
      <c r="F74" s="65"/>
      <c r="G74" s="65"/>
      <c r="H74" s="65"/>
      <c r="I74" s="65" t="s">
        <v>828</v>
      </c>
      <c r="J74" s="65" t="s">
        <v>125</v>
      </c>
      <c r="K74" s="65"/>
      <c r="L74" s="65"/>
      <c r="M74" s="65"/>
      <c r="N74" s="65"/>
      <c r="O74" s="65"/>
      <c r="P74" s="65"/>
      <c r="Q74" s="65"/>
      <c r="R74" s="65"/>
      <c r="S74" s="65"/>
      <c r="T74" s="65"/>
      <c r="U74" s="65"/>
      <c r="V74" s="65"/>
      <c r="W74" s="65"/>
      <c r="X74" s="65"/>
      <c r="Y74" s="65"/>
      <c r="Z74" s="65"/>
    </row>
    <row r="75" spans="1:26" ht="12.75" customHeight="1">
      <c r="A75" s="64" t="s">
        <v>706</v>
      </c>
      <c r="B75" s="65" t="s">
        <v>707</v>
      </c>
      <c r="C75" s="65" t="s">
        <v>810</v>
      </c>
      <c r="D75" s="65" t="s">
        <v>726</v>
      </c>
      <c r="E75" s="65" t="s">
        <v>829</v>
      </c>
      <c r="F75" s="65"/>
      <c r="G75" s="65"/>
      <c r="H75" s="65"/>
      <c r="I75" s="65" t="s">
        <v>830</v>
      </c>
      <c r="J75" s="65" t="s">
        <v>125</v>
      </c>
      <c r="K75" s="65"/>
      <c r="L75" s="65"/>
      <c r="M75" s="65"/>
      <c r="N75" s="65"/>
      <c r="O75" s="65"/>
      <c r="P75" s="65"/>
      <c r="Q75" s="65"/>
      <c r="R75" s="65"/>
      <c r="S75" s="65"/>
      <c r="T75" s="65"/>
      <c r="U75" s="65"/>
      <c r="V75" s="65"/>
      <c r="W75" s="65"/>
      <c r="X75" s="65"/>
      <c r="Y75" s="65"/>
      <c r="Z75" s="65"/>
    </row>
    <row r="76" spans="1:26" ht="12.75" customHeight="1">
      <c r="A76" s="64" t="s">
        <v>706</v>
      </c>
      <c r="B76" s="65" t="s">
        <v>707</v>
      </c>
      <c r="C76" s="65" t="s">
        <v>831</v>
      </c>
      <c r="D76" s="65" t="s">
        <v>709</v>
      </c>
      <c r="E76" s="65" t="s">
        <v>709</v>
      </c>
      <c r="F76" s="65"/>
      <c r="G76" s="65"/>
      <c r="H76" s="65"/>
      <c r="I76" s="65" t="s">
        <v>832</v>
      </c>
      <c r="J76" s="65" t="s">
        <v>125</v>
      </c>
      <c r="K76" s="65"/>
      <c r="L76" s="65"/>
      <c r="M76" s="65"/>
      <c r="N76" s="65"/>
      <c r="O76" s="65"/>
      <c r="P76" s="65"/>
      <c r="Q76" s="65"/>
      <c r="R76" s="65"/>
      <c r="S76" s="65"/>
      <c r="T76" s="65"/>
      <c r="U76" s="65"/>
      <c r="V76" s="65"/>
      <c r="W76" s="65"/>
      <c r="X76" s="65"/>
      <c r="Y76" s="65"/>
      <c r="Z76" s="65"/>
    </row>
    <row r="77" spans="1:26" ht="12.75" customHeight="1">
      <c r="A77" s="64" t="s">
        <v>706</v>
      </c>
      <c r="B77" s="65" t="s">
        <v>707</v>
      </c>
      <c r="C77" s="65" t="s">
        <v>831</v>
      </c>
      <c r="D77" s="65" t="s">
        <v>726</v>
      </c>
      <c r="E77" s="65" t="s">
        <v>727</v>
      </c>
      <c r="F77" s="65"/>
      <c r="G77" s="65"/>
      <c r="H77" s="65"/>
      <c r="I77" s="65" t="s">
        <v>833</v>
      </c>
      <c r="J77" s="65" t="s">
        <v>125</v>
      </c>
      <c r="K77" s="65"/>
      <c r="L77" s="65"/>
      <c r="M77" s="65"/>
      <c r="N77" s="65"/>
      <c r="O77" s="65"/>
      <c r="P77" s="65"/>
      <c r="Q77" s="65"/>
      <c r="R77" s="65"/>
      <c r="S77" s="65"/>
      <c r="T77" s="65"/>
      <c r="U77" s="65"/>
      <c r="V77" s="65"/>
      <c r="W77" s="65"/>
      <c r="X77" s="65"/>
      <c r="Y77" s="65"/>
      <c r="Z77" s="65"/>
    </row>
    <row r="78" spans="1:26" ht="12.75" customHeight="1">
      <c r="A78" s="64" t="s">
        <v>706</v>
      </c>
      <c r="B78" s="65" t="s">
        <v>707</v>
      </c>
      <c r="C78" s="65" t="s">
        <v>831</v>
      </c>
      <c r="D78" s="65" t="s">
        <v>726</v>
      </c>
      <c r="E78" s="65" t="s">
        <v>730</v>
      </c>
      <c r="F78" s="65"/>
      <c r="G78" s="65"/>
      <c r="H78" s="65"/>
      <c r="I78" s="65" t="s">
        <v>834</v>
      </c>
      <c r="J78" s="65" t="s">
        <v>125</v>
      </c>
      <c r="K78" s="65"/>
      <c r="L78" s="65"/>
      <c r="M78" s="65"/>
      <c r="N78" s="65"/>
      <c r="O78" s="65"/>
      <c r="P78" s="65"/>
      <c r="Q78" s="65"/>
      <c r="R78" s="65"/>
      <c r="S78" s="65"/>
      <c r="T78" s="65"/>
      <c r="U78" s="65"/>
      <c r="V78" s="65"/>
      <c r="W78" s="65"/>
      <c r="X78" s="65"/>
      <c r="Y78" s="65"/>
      <c r="Z78" s="65"/>
    </row>
    <row r="79" spans="1:26" ht="12.75" customHeight="1">
      <c r="A79" s="64" t="s">
        <v>706</v>
      </c>
      <c r="B79" s="65" t="s">
        <v>707</v>
      </c>
      <c r="C79" s="65" t="s">
        <v>831</v>
      </c>
      <c r="D79" s="65" t="s">
        <v>726</v>
      </c>
      <c r="E79" s="65" t="s">
        <v>732</v>
      </c>
      <c r="F79" s="65"/>
      <c r="G79" s="65"/>
      <c r="H79" s="65"/>
      <c r="I79" s="65" t="s">
        <v>835</v>
      </c>
      <c r="J79" s="65" t="s">
        <v>125</v>
      </c>
      <c r="K79" s="65"/>
      <c r="L79" s="65"/>
      <c r="M79" s="65"/>
      <c r="N79" s="65"/>
      <c r="O79" s="65"/>
      <c r="P79" s="65"/>
      <c r="Q79" s="65"/>
      <c r="R79" s="65"/>
      <c r="S79" s="65"/>
      <c r="T79" s="65"/>
      <c r="U79" s="65"/>
      <c r="V79" s="65"/>
      <c r="W79" s="65"/>
      <c r="X79" s="65"/>
      <c r="Y79" s="65"/>
      <c r="Z79" s="65"/>
    </row>
    <row r="80" spans="1:26" ht="12.75" customHeight="1">
      <c r="A80" s="64" t="s">
        <v>706</v>
      </c>
      <c r="B80" s="65" t="s">
        <v>707</v>
      </c>
      <c r="C80" s="65" t="s">
        <v>831</v>
      </c>
      <c r="D80" s="65" t="s">
        <v>726</v>
      </c>
      <c r="E80" s="65" t="s">
        <v>734</v>
      </c>
      <c r="F80" s="65"/>
      <c r="G80" s="65"/>
      <c r="H80" s="65"/>
      <c r="I80" s="65" t="s">
        <v>836</v>
      </c>
      <c r="J80" s="65" t="s">
        <v>125</v>
      </c>
      <c r="K80" s="65"/>
      <c r="L80" s="65"/>
      <c r="M80" s="65"/>
      <c r="N80" s="65"/>
      <c r="O80" s="65"/>
      <c r="P80" s="65"/>
      <c r="Q80" s="65"/>
      <c r="R80" s="65"/>
      <c r="S80" s="65"/>
      <c r="T80" s="65"/>
      <c r="U80" s="65"/>
      <c r="V80" s="65"/>
      <c r="W80" s="65"/>
      <c r="X80" s="65"/>
      <c r="Y80" s="65"/>
      <c r="Z80" s="65"/>
    </row>
    <row r="81" spans="1:26" ht="12.75" customHeight="1">
      <c r="A81" s="64" t="s">
        <v>706</v>
      </c>
      <c r="B81" s="65" t="s">
        <v>707</v>
      </c>
      <c r="C81" s="65" t="s">
        <v>831</v>
      </c>
      <c r="D81" s="65" t="s">
        <v>831</v>
      </c>
      <c r="E81" s="65" t="s">
        <v>837</v>
      </c>
      <c r="F81" s="65"/>
      <c r="G81" s="65"/>
      <c r="H81" s="65"/>
      <c r="I81" s="65" t="s">
        <v>838</v>
      </c>
      <c r="J81" s="65" t="s">
        <v>125</v>
      </c>
      <c r="K81" s="65"/>
      <c r="L81" s="65"/>
      <c r="M81" s="65"/>
      <c r="N81" s="65"/>
      <c r="O81" s="65"/>
      <c r="P81" s="65"/>
      <c r="Q81" s="65"/>
      <c r="R81" s="65"/>
      <c r="S81" s="65"/>
      <c r="T81" s="65"/>
      <c r="U81" s="65"/>
      <c r="V81" s="65"/>
      <c r="W81" s="65"/>
      <c r="X81" s="65"/>
      <c r="Y81" s="65"/>
      <c r="Z81" s="65"/>
    </row>
    <row r="82" spans="1:26" ht="12.75" customHeight="1">
      <c r="A82" s="64" t="s">
        <v>706</v>
      </c>
      <c r="B82" s="65" t="s">
        <v>707</v>
      </c>
      <c r="C82" s="65" t="s">
        <v>831</v>
      </c>
      <c r="D82" s="65" t="s">
        <v>831</v>
      </c>
      <c r="E82" s="65" t="s">
        <v>839</v>
      </c>
      <c r="F82" s="65"/>
      <c r="G82" s="65"/>
      <c r="H82" s="65"/>
      <c r="I82" s="65" t="s">
        <v>840</v>
      </c>
      <c r="J82" s="65" t="s">
        <v>125</v>
      </c>
      <c r="K82" s="65"/>
      <c r="L82" s="65"/>
      <c r="M82" s="65"/>
      <c r="N82" s="65"/>
      <c r="O82" s="65"/>
      <c r="P82" s="65"/>
      <c r="Q82" s="65"/>
      <c r="R82" s="65"/>
      <c r="S82" s="65"/>
      <c r="T82" s="65"/>
      <c r="U82" s="65"/>
      <c r="V82" s="65"/>
      <c r="W82" s="65"/>
      <c r="X82" s="65"/>
      <c r="Y82" s="65"/>
      <c r="Z82" s="65"/>
    </row>
    <row r="83" spans="1:26" ht="12.75" customHeight="1">
      <c r="A83" s="64" t="s">
        <v>706</v>
      </c>
      <c r="B83" s="65" t="s">
        <v>707</v>
      </c>
      <c r="C83" s="65" t="s">
        <v>831</v>
      </c>
      <c r="D83" s="65" t="s">
        <v>831</v>
      </c>
      <c r="E83" s="65" t="s">
        <v>841</v>
      </c>
      <c r="F83" s="65"/>
      <c r="G83" s="65"/>
      <c r="H83" s="65"/>
      <c r="I83" s="65" t="s">
        <v>842</v>
      </c>
      <c r="J83" s="65" t="s">
        <v>125</v>
      </c>
      <c r="K83" s="65"/>
      <c r="L83" s="65"/>
      <c r="M83" s="65"/>
      <c r="N83" s="65"/>
      <c r="O83" s="65"/>
      <c r="P83" s="65"/>
      <c r="Q83" s="65"/>
      <c r="R83" s="65"/>
      <c r="S83" s="65"/>
      <c r="T83" s="65"/>
      <c r="U83" s="65"/>
      <c r="V83" s="65"/>
      <c r="W83" s="65"/>
      <c r="X83" s="65"/>
      <c r="Y83" s="65"/>
      <c r="Z83" s="65"/>
    </row>
    <row r="84" spans="1:26" ht="12.75" customHeight="1">
      <c r="A84" s="64" t="s">
        <v>706</v>
      </c>
      <c r="B84" s="65" t="s">
        <v>707</v>
      </c>
      <c r="C84" s="65" t="s">
        <v>831</v>
      </c>
      <c r="D84" s="65" t="s">
        <v>831</v>
      </c>
      <c r="E84" s="65" t="s">
        <v>843</v>
      </c>
      <c r="F84" s="65"/>
      <c r="G84" s="65"/>
      <c r="H84" s="65"/>
      <c r="I84" s="65" t="s">
        <v>844</v>
      </c>
      <c r="J84" s="65" t="s">
        <v>125</v>
      </c>
      <c r="K84" s="65"/>
      <c r="L84" s="65"/>
      <c r="M84" s="65"/>
      <c r="N84" s="65"/>
      <c r="O84" s="65"/>
      <c r="P84" s="65"/>
      <c r="Q84" s="65"/>
      <c r="R84" s="65"/>
      <c r="S84" s="65"/>
      <c r="T84" s="65"/>
      <c r="U84" s="65"/>
      <c r="V84" s="65"/>
      <c r="W84" s="65"/>
      <c r="X84" s="65"/>
      <c r="Y84" s="65"/>
      <c r="Z84" s="65"/>
    </row>
    <row r="85" spans="1:26" ht="12.75" customHeight="1">
      <c r="A85" s="64" t="s">
        <v>706</v>
      </c>
      <c r="B85" s="65" t="s">
        <v>707</v>
      </c>
      <c r="C85" s="65" t="s">
        <v>831</v>
      </c>
      <c r="D85" s="65" t="s">
        <v>831</v>
      </c>
      <c r="E85" s="65" t="s">
        <v>845</v>
      </c>
      <c r="F85" s="65"/>
      <c r="G85" s="65"/>
      <c r="H85" s="65"/>
      <c r="I85" s="65" t="s">
        <v>846</v>
      </c>
      <c r="J85" s="65" t="s">
        <v>125</v>
      </c>
      <c r="K85" s="65"/>
      <c r="L85" s="65"/>
      <c r="M85" s="65"/>
      <c r="N85" s="65"/>
      <c r="O85" s="65"/>
      <c r="P85" s="65"/>
      <c r="Q85" s="65"/>
      <c r="R85" s="65"/>
      <c r="S85" s="65"/>
      <c r="T85" s="65"/>
      <c r="U85" s="65"/>
      <c r="V85" s="65"/>
      <c r="W85" s="65"/>
      <c r="X85" s="65"/>
      <c r="Y85" s="65"/>
      <c r="Z85" s="65"/>
    </row>
    <row r="86" spans="1:26" ht="12.75" customHeight="1">
      <c r="A86" s="64" t="s">
        <v>706</v>
      </c>
      <c r="B86" s="65" t="s">
        <v>707</v>
      </c>
      <c r="C86" s="65" t="s">
        <v>831</v>
      </c>
      <c r="D86" s="65" t="s">
        <v>831</v>
      </c>
      <c r="E86" s="65" t="s">
        <v>847</v>
      </c>
      <c r="F86" s="65"/>
      <c r="G86" s="65"/>
      <c r="H86" s="65"/>
      <c r="I86" s="65" t="s">
        <v>848</v>
      </c>
      <c r="J86" s="65" t="s">
        <v>125</v>
      </c>
      <c r="K86" s="65"/>
      <c r="L86" s="65"/>
      <c r="M86" s="65"/>
      <c r="N86" s="65"/>
      <c r="O86" s="65"/>
      <c r="P86" s="65"/>
      <c r="Q86" s="65"/>
      <c r="R86" s="65"/>
      <c r="S86" s="65"/>
      <c r="T86" s="65"/>
      <c r="U86" s="65"/>
      <c r="V86" s="65"/>
      <c r="W86" s="65"/>
      <c r="X86" s="65"/>
      <c r="Y86" s="65"/>
      <c r="Z86" s="65"/>
    </row>
    <row r="87" spans="1:26" ht="12.75" customHeight="1">
      <c r="A87" s="64" t="s">
        <v>706</v>
      </c>
      <c r="B87" s="65" t="s">
        <v>707</v>
      </c>
      <c r="C87" s="65" t="s">
        <v>831</v>
      </c>
      <c r="D87" s="65" t="s">
        <v>831</v>
      </c>
      <c r="E87" s="65" t="s">
        <v>849</v>
      </c>
      <c r="F87" s="65"/>
      <c r="G87" s="65"/>
      <c r="H87" s="65"/>
      <c r="I87" s="65" t="s">
        <v>850</v>
      </c>
      <c r="J87" s="65" t="s">
        <v>125</v>
      </c>
      <c r="K87" s="65"/>
      <c r="L87" s="65"/>
      <c r="M87" s="65"/>
      <c r="N87" s="65"/>
      <c r="O87" s="65"/>
      <c r="P87" s="65"/>
      <c r="Q87" s="65"/>
      <c r="R87" s="65"/>
      <c r="S87" s="65"/>
      <c r="T87" s="65"/>
      <c r="U87" s="65"/>
      <c r="V87" s="65"/>
      <c r="W87" s="65"/>
      <c r="X87" s="65"/>
      <c r="Y87" s="65"/>
      <c r="Z87" s="65"/>
    </row>
    <row r="88" spans="1:26" ht="12.75" customHeight="1">
      <c r="A88" s="64" t="s">
        <v>706</v>
      </c>
      <c r="B88" s="65" t="s">
        <v>707</v>
      </c>
      <c r="C88" s="65" t="s">
        <v>831</v>
      </c>
      <c r="D88" s="65" t="s">
        <v>831</v>
      </c>
      <c r="E88" s="65" t="s">
        <v>851</v>
      </c>
      <c r="F88" s="65"/>
      <c r="G88" s="65"/>
      <c r="H88" s="65"/>
      <c r="I88" s="65" t="s">
        <v>852</v>
      </c>
      <c r="J88" s="65" t="s">
        <v>125</v>
      </c>
      <c r="K88" s="65"/>
      <c r="L88" s="65"/>
      <c r="M88" s="65"/>
      <c r="N88" s="65"/>
      <c r="O88" s="65"/>
      <c r="P88" s="65"/>
      <c r="Q88" s="65"/>
      <c r="R88" s="65"/>
      <c r="S88" s="65"/>
      <c r="T88" s="65"/>
      <c r="U88" s="65"/>
      <c r="V88" s="65"/>
      <c r="W88" s="65"/>
      <c r="X88" s="65"/>
      <c r="Y88" s="65"/>
      <c r="Z88" s="65"/>
    </row>
    <row r="89" spans="1:26" ht="12.75" customHeight="1">
      <c r="A89" s="64" t="s">
        <v>706</v>
      </c>
      <c r="B89" s="65" t="s">
        <v>707</v>
      </c>
      <c r="C89" s="65" t="s">
        <v>831</v>
      </c>
      <c r="D89" s="65" t="s">
        <v>831</v>
      </c>
      <c r="E89" s="65" t="s">
        <v>853</v>
      </c>
      <c r="F89" s="65"/>
      <c r="G89" s="65"/>
      <c r="H89" s="65"/>
      <c r="I89" s="65" t="s">
        <v>854</v>
      </c>
      <c r="J89" s="65" t="s">
        <v>125</v>
      </c>
      <c r="K89" s="65"/>
      <c r="L89" s="65"/>
      <c r="M89" s="65"/>
      <c r="N89" s="65"/>
      <c r="O89" s="65"/>
      <c r="P89" s="65"/>
      <c r="Q89" s="65"/>
      <c r="R89" s="65"/>
      <c r="S89" s="65"/>
      <c r="T89" s="65"/>
      <c r="U89" s="65"/>
      <c r="V89" s="65"/>
      <c r="W89" s="65"/>
      <c r="X89" s="65"/>
      <c r="Y89" s="65"/>
      <c r="Z89" s="65"/>
    </row>
    <row r="90" spans="1:26" ht="12.75" customHeight="1">
      <c r="A90" s="64" t="s">
        <v>706</v>
      </c>
      <c r="B90" s="65" t="s">
        <v>707</v>
      </c>
      <c r="C90" s="65" t="s">
        <v>831</v>
      </c>
      <c r="D90" s="65" t="s">
        <v>831</v>
      </c>
      <c r="E90" s="65" t="s">
        <v>855</v>
      </c>
      <c r="F90" s="65"/>
      <c r="G90" s="65"/>
      <c r="H90" s="65"/>
      <c r="I90" s="65" t="s">
        <v>856</v>
      </c>
      <c r="J90" s="65" t="s">
        <v>125</v>
      </c>
      <c r="K90" s="65"/>
      <c r="L90" s="65"/>
      <c r="M90" s="65"/>
      <c r="N90" s="65"/>
      <c r="O90" s="65"/>
      <c r="P90" s="65"/>
      <c r="Q90" s="65"/>
      <c r="R90" s="65"/>
      <c r="S90" s="65"/>
      <c r="T90" s="65"/>
      <c r="U90" s="65"/>
      <c r="V90" s="65"/>
      <c r="W90" s="65"/>
      <c r="X90" s="65"/>
      <c r="Y90" s="65"/>
      <c r="Z90" s="65"/>
    </row>
    <row r="91" spans="1:26" ht="12.75" customHeight="1">
      <c r="A91" s="64" t="s">
        <v>706</v>
      </c>
      <c r="B91" s="65" t="s">
        <v>707</v>
      </c>
      <c r="C91" s="65" t="s">
        <v>831</v>
      </c>
      <c r="D91" s="65" t="s">
        <v>831</v>
      </c>
      <c r="E91" s="65" t="s">
        <v>857</v>
      </c>
      <c r="F91" s="65"/>
      <c r="G91" s="65"/>
      <c r="H91" s="65"/>
      <c r="I91" s="65" t="s">
        <v>858</v>
      </c>
      <c r="J91" s="65" t="s">
        <v>125</v>
      </c>
      <c r="K91" s="65"/>
      <c r="L91" s="65"/>
      <c r="M91" s="65"/>
      <c r="N91" s="65"/>
      <c r="O91" s="65"/>
      <c r="P91" s="65"/>
      <c r="Q91" s="65"/>
      <c r="R91" s="65"/>
      <c r="S91" s="65"/>
      <c r="T91" s="65"/>
      <c r="U91" s="65"/>
      <c r="V91" s="65"/>
      <c r="W91" s="65"/>
      <c r="X91" s="65"/>
      <c r="Y91" s="65"/>
      <c r="Z91" s="65"/>
    </row>
    <row r="92" spans="1:26" ht="12.75" customHeight="1">
      <c r="A92" s="64" t="s">
        <v>706</v>
      </c>
      <c r="B92" s="65" t="s">
        <v>707</v>
      </c>
      <c r="C92" s="65" t="s">
        <v>831</v>
      </c>
      <c r="D92" s="65" t="s">
        <v>831</v>
      </c>
      <c r="E92" s="65" t="s">
        <v>859</v>
      </c>
      <c r="F92" s="65"/>
      <c r="G92" s="65"/>
      <c r="H92" s="65"/>
      <c r="I92" s="65" t="s">
        <v>860</v>
      </c>
      <c r="J92" s="65" t="s">
        <v>125</v>
      </c>
      <c r="K92" s="65"/>
      <c r="L92" s="65"/>
      <c r="M92" s="65"/>
      <c r="N92" s="65"/>
      <c r="O92" s="65"/>
      <c r="P92" s="65"/>
      <c r="Q92" s="65"/>
      <c r="R92" s="65"/>
      <c r="S92" s="65"/>
      <c r="T92" s="65"/>
      <c r="U92" s="65"/>
      <c r="V92" s="65"/>
      <c r="W92" s="65"/>
      <c r="X92" s="65"/>
      <c r="Y92" s="65"/>
      <c r="Z92" s="65"/>
    </row>
    <row r="93" spans="1:26" ht="12.75" customHeight="1">
      <c r="A93" s="64" t="s">
        <v>706</v>
      </c>
      <c r="B93" s="65" t="s">
        <v>707</v>
      </c>
      <c r="C93" s="65" t="s">
        <v>831</v>
      </c>
      <c r="D93" s="65" t="s">
        <v>831</v>
      </c>
      <c r="E93" s="65" t="s">
        <v>861</v>
      </c>
      <c r="F93" s="65"/>
      <c r="G93" s="65"/>
      <c r="H93" s="65"/>
      <c r="I93" s="65" t="s">
        <v>862</v>
      </c>
      <c r="J93" s="65" t="s">
        <v>125</v>
      </c>
      <c r="K93" s="65"/>
      <c r="L93" s="65"/>
      <c r="M93" s="65"/>
      <c r="N93" s="65"/>
      <c r="O93" s="65"/>
      <c r="P93" s="65"/>
      <c r="Q93" s="65"/>
      <c r="R93" s="65"/>
      <c r="S93" s="65"/>
      <c r="T93" s="65"/>
      <c r="U93" s="65"/>
      <c r="V93" s="65"/>
      <c r="W93" s="65"/>
      <c r="X93" s="65"/>
      <c r="Y93" s="65"/>
      <c r="Z93" s="65"/>
    </row>
    <row r="94" spans="1:26" ht="12.75" customHeight="1">
      <c r="A94" s="64" t="s">
        <v>706</v>
      </c>
      <c r="B94" s="65" t="s">
        <v>707</v>
      </c>
      <c r="C94" s="65" t="s">
        <v>831</v>
      </c>
      <c r="D94" s="65" t="s">
        <v>831</v>
      </c>
      <c r="E94" s="65" t="s">
        <v>863</v>
      </c>
      <c r="F94" s="65"/>
      <c r="G94" s="65"/>
      <c r="H94" s="65"/>
      <c r="I94" s="65" t="s">
        <v>864</v>
      </c>
      <c r="J94" s="65" t="s">
        <v>125</v>
      </c>
      <c r="K94" s="65"/>
      <c r="L94" s="65"/>
      <c r="M94" s="65"/>
      <c r="N94" s="65"/>
      <c r="O94" s="65"/>
      <c r="P94" s="65"/>
      <c r="Q94" s="65"/>
      <c r="R94" s="65"/>
      <c r="S94" s="65"/>
      <c r="T94" s="65"/>
      <c r="U94" s="65"/>
      <c r="V94" s="65"/>
      <c r="W94" s="65"/>
      <c r="X94" s="65"/>
      <c r="Y94" s="65"/>
      <c r="Z94" s="65"/>
    </row>
    <row r="95" spans="1:26" ht="12.75" customHeight="1">
      <c r="A95" s="64" t="s">
        <v>706</v>
      </c>
      <c r="B95" s="65" t="s">
        <v>707</v>
      </c>
      <c r="C95" s="65" t="s">
        <v>831</v>
      </c>
      <c r="D95" s="65" t="s">
        <v>831</v>
      </c>
      <c r="E95" s="65" t="s">
        <v>865</v>
      </c>
      <c r="F95" s="65"/>
      <c r="G95" s="65"/>
      <c r="H95" s="65"/>
      <c r="I95" s="65" t="s">
        <v>866</v>
      </c>
      <c r="J95" s="65" t="s">
        <v>125</v>
      </c>
      <c r="K95" s="65"/>
      <c r="L95" s="65"/>
      <c r="M95" s="65"/>
      <c r="N95" s="65"/>
      <c r="O95" s="65"/>
      <c r="P95" s="65"/>
      <c r="Q95" s="65"/>
      <c r="R95" s="65"/>
      <c r="S95" s="65"/>
      <c r="T95" s="65"/>
      <c r="U95" s="65"/>
      <c r="V95" s="65"/>
      <c r="W95" s="65"/>
      <c r="X95" s="65"/>
      <c r="Y95" s="65"/>
      <c r="Z95" s="65"/>
    </row>
    <row r="96" spans="1:26" ht="12.75" customHeight="1">
      <c r="A96" s="64" t="s">
        <v>706</v>
      </c>
      <c r="B96" s="65" t="s">
        <v>707</v>
      </c>
      <c r="C96" s="65" t="s">
        <v>831</v>
      </c>
      <c r="D96" s="65" t="s">
        <v>831</v>
      </c>
      <c r="E96" s="65" t="s">
        <v>867</v>
      </c>
      <c r="F96" s="65"/>
      <c r="G96" s="65"/>
      <c r="H96" s="65"/>
      <c r="I96" s="65" t="s">
        <v>868</v>
      </c>
      <c r="J96" s="65" t="s">
        <v>125</v>
      </c>
      <c r="K96" s="65"/>
      <c r="L96" s="65"/>
      <c r="M96" s="65"/>
      <c r="N96" s="65"/>
      <c r="O96" s="65"/>
      <c r="P96" s="65"/>
      <c r="Q96" s="65"/>
      <c r="R96" s="65"/>
      <c r="S96" s="65"/>
      <c r="T96" s="65"/>
      <c r="U96" s="65"/>
      <c r="V96" s="65"/>
      <c r="W96" s="65"/>
      <c r="X96" s="65"/>
      <c r="Y96" s="65"/>
      <c r="Z96" s="65"/>
    </row>
    <row r="97" spans="1:26" ht="12.75" customHeight="1">
      <c r="A97" s="64" t="s">
        <v>706</v>
      </c>
      <c r="B97" s="65" t="s">
        <v>707</v>
      </c>
      <c r="C97" s="65" t="s">
        <v>831</v>
      </c>
      <c r="D97" s="65" t="s">
        <v>831</v>
      </c>
      <c r="E97" s="65" t="s">
        <v>869</v>
      </c>
      <c r="F97" s="65"/>
      <c r="G97" s="65"/>
      <c r="H97" s="65"/>
      <c r="I97" s="65" t="s">
        <v>870</v>
      </c>
      <c r="J97" s="65" t="s">
        <v>125</v>
      </c>
      <c r="K97" s="65"/>
      <c r="L97" s="65"/>
      <c r="M97" s="65"/>
      <c r="N97" s="65"/>
      <c r="O97" s="65"/>
      <c r="P97" s="65"/>
      <c r="Q97" s="65"/>
      <c r="R97" s="65"/>
      <c r="S97" s="65"/>
      <c r="T97" s="65"/>
      <c r="U97" s="65"/>
      <c r="V97" s="65"/>
      <c r="W97" s="65"/>
      <c r="X97" s="65"/>
      <c r="Y97" s="65"/>
      <c r="Z97" s="65"/>
    </row>
    <row r="98" spans="1:26" ht="12.75" customHeight="1">
      <c r="A98" s="64" t="s">
        <v>706</v>
      </c>
      <c r="B98" s="65" t="s">
        <v>707</v>
      </c>
      <c r="C98" s="65" t="s">
        <v>831</v>
      </c>
      <c r="D98" s="65" t="s">
        <v>831</v>
      </c>
      <c r="E98" s="65" t="s">
        <v>871</v>
      </c>
      <c r="F98" s="65"/>
      <c r="G98" s="65"/>
      <c r="H98" s="65"/>
      <c r="I98" s="65" t="s">
        <v>872</v>
      </c>
      <c r="J98" s="65" t="s">
        <v>125</v>
      </c>
      <c r="K98" s="65"/>
      <c r="L98" s="65"/>
      <c r="M98" s="65"/>
      <c r="N98" s="65"/>
      <c r="O98" s="65"/>
      <c r="P98" s="65"/>
      <c r="Q98" s="65"/>
      <c r="R98" s="65"/>
      <c r="S98" s="65"/>
      <c r="T98" s="65"/>
      <c r="U98" s="65"/>
      <c r="V98" s="65"/>
      <c r="W98" s="65"/>
      <c r="X98" s="65"/>
      <c r="Y98" s="65"/>
      <c r="Z98" s="65"/>
    </row>
    <row r="99" spans="1:26" ht="12.75" customHeight="1">
      <c r="A99" s="64" t="s">
        <v>706</v>
      </c>
      <c r="B99" s="65" t="s">
        <v>707</v>
      </c>
      <c r="C99" s="65" t="s">
        <v>831</v>
      </c>
      <c r="D99" s="65" t="s">
        <v>831</v>
      </c>
      <c r="E99" s="65" t="s">
        <v>873</v>
      </c>
      <c r="F99" s="65"/>
      <c r="G99" s="65"/>
      <c r="H99" s="65"/>
      <c r="I99" s="65" t="s">
        <v>874</v>
      </c>
      <c r="J99" s="65" t="s">
        <v>125</v>
      </c>
      <c r="K99" s="65"/>
      <c r="L99" s="65"/>
      <c r="M99" s="65"/>
      <c r="N99" s="65"/>
      <c r="O99" s="65"/>
      <c r="P99" s="65"/>
      <c r="Q99" s="65"/>
      <c r="R99" s="65"/>
      <c r="S99" s="65"/>
      <c r="T99" s="65"/>
      <c r="U99" s="65"/>
      <c r="V99" s="65"/>
      <c r="W99" s="65"/>
      <c r="X99" s="65"/>
      <c r="Y99" s="65"/>
      <c r="Z99" s="65"/>
    </row>
    <row r="100" spans="1:26" ht="12.75" customHeight="1">
      <c r="A100" s="64" t="s">
        <v>706</v>
      </c>
      <c r="B100" s="65" t="s">
        <v>707</v>
      </c>
      <c r="C100" s="65" t="s">
        <v>831</v>
      </c>
      <c r="D100" s="65" t="s">
        <v>831</v>
      </c>
      <c r="E100" s="65" t="s">
        <v>875</v>
      </c>
      <c r="F100" s="65"/>
      <c r="G100" s="65"/>
      <c r="H100" s="65"/>
      <c r="I100" s="65" t="s">
        <v>876</v>
      </c>
      <c r="J100" s="65" t="s">
        <v>125</v>
      </c>
      <c r="K100" s="65"/>
      <c r="L100" s="65"/>
      <c r="M100" s="65"/>
      <c r="N100" s="65"/>
      <c r="O100" s="65"/>
      <c r="P100" s="65"/>
      <c r="Q100" s="65"/>
      <c r="R100" s="65"/>
      <c r="S100" s="65"/>
      <c r="T100" s="65"/>
      <c r="U100" s="65"/>
      <c r="V100" s="65"/>
      <c r="W100" s="65"/>
      <c r="X100" s="65"/>
      <c r="Y100" s="65"/>
      <c r="Z100" s="65"/>
    </row>
    <row r="101" spans="1:26" ht="12.75" customHeight="1">
      <c r="A101" s="64" t="s">
        <v>706</v>
      </c>
      <c r="B101" s="65" t="s">
        <v>707</v>
      </c>
      <c r="C101" s="65" t="s">
        <v>831</v>
      </c>
      <c r="D101" s="65" t="s">
        <v>831</v>
      </c>
      <c r="E101" s="65" t="s">
        <v>877</v>
      </c>
      <c r="F101" s="65"/>
      <c r="G101" s="65"/>
      <c r="H101" s="65"/>
      <c r="I101" s="65" t="s">
        <v>878</v>
      </c>
      <c r="J101" s="65" t="s">
        <v>125</v>
      </c>
      <c r="K101" s="65"/>
      <c r="L101" s="65"/>
      <c r="M101" s="65"/>
      <c r="N101" s="65"/>
      <c r="O101" s="65"/>
      <c r="P101" s="65"/>
      <c r="Q101" s="65"/>
      <c r="R101" s="65"/>
      <c r="S101" s="65"/>
      <c r="T101" s="65"/>
      <c r="U101" s="65"/>
      <c r="V101" s="65"/>
      <c r="W101" s="65"/>
      <c r="X101" s="65"/>
      <c r="Y101" s="65"/>
      <c r="Z101" s="65"/>
    </row>
    <row r="102" spans="1:26" ht="12.75" customHeight="1">
      <c r="A102" s="64" t="s">
        <v>706</v>
      </c>
      <c r="B102" s="65" t="s">
        <v>707</v>
      </c>
      <c r="C102" s="65" t="s">
        <v>831</v>
      </c>
      <c r="D102" s="65" t="s">
        <v>831</v>
      </c>
      <c r="E102" s="65" t="s">
        <v>879</v>
      </c>
      <c r="F102" s="65"/>
      <c r="G102" s="65"/>
      <c r="H102" s="65"/>
      <c r="I102" s="65" t="s">
        <v>880</v>
      </c>
      <c r="J102" s="65" t="s">
        <v>125</v>
      </c>
      <c r="K102" s="65"/>
      <c r="L102" s="65"/>
      <c r="M102" s="65"/>
      <c r="N102" s="65"/>
      <c r="O102" s="65"/>
      <c r="P102" s="65"/>
      <c r="Q102" s="65"/>
      <c r="R102" s="65"/>
      <c r="S102" s="65"/>
      <c r="T102" s="65"/>
      <c r="U102" s="65"/>
      <c r="V102" s="65"/>
      <c r="W102" s="65"/>
      <c r="X102" s="65"/>
      <c r="Y102" s="65"/>
      <c r="Z102" s="65"/>
    </row>
    <row r="103" spans="1:26" ht="12.75" customHeight="1">
      <c r="A103" s="64" t="s">
        <v>706</v>
      </c>
      <c r="B103" s="65" t="s">
        <v>707</v>
      </c>
      <c r="C103" s="65" t="s">
        <v>831</v>
      </c>
      <c r="D103" s="65" t="s">
        <v>831</v>
      </c>
      <c r="E103" s="65" t="s">
        <v>881</v>
      </c>
      <c r="F103" s="65"/>
      <c r="G103" s="65"/>
      <c r="H103" s="65"/>
      <c r="I103" s="65" t="s">
        <v>882</v>
      </c>
      <c r="J103" s="65" t="s">
        <v>125</v>
      </c>
      <c r="K103" s="65"/>
      <c r="L103" s="65"/>
      <c r="M103" s="65"/>
      <c r="N103" s="65"/>
      <c r="O103" s="65"/>
      <c r="P103" s="65"/>
      <c r="Q103" s="65"/>
      <c r="R103" s="65"/>
      <c r="S103" s="65"/>
      <c r="T103" s="65"/>
      <c r="U103" s="65"/>
      <c r="V103" s="65"/>
      <c r="W103" s="65"/>
      <c r="X103" s="65"/>
      <c r="Y103" s="65"/>
      <c r="Z103" s="65"/>
    </row>
    <row r="104" spans="1:26" ht="12.75" customHeight="1">
      <c r="A104" s="64" t="s">
        <v>706</v>
      </c>
      <c r="B104" s="65" t="s">
        <v>707</v>
      </c>
      <c r="C104" s="65" t="s">
        <v>831</v>
      </c>
      <c r="D104" s="65" t="s">
        <v>831</v>
      </c>
      <c r="E104" s="65" t="s">
        <v>883</v>
      </c>
      <c r="F104" s="65"/>
      <c r="G104" s="65"/>
      <c r="H104" s="65"/>
      <c r="I104" s="65" t="s">
        <v>884</v>
      </c>
      <c r="J104" s="65" t="s">
        <v>125</v>
      </c>
      <c r="K104" s="65"/>
      <c r="L104" s="65"/>
      <c r="M104" s="65"/>
      <c r="N104" s="65"/>
      <c r="O104" s="65"/>
      <c r="P104" s="65"/>
      <c r="Q104" s="65"/>
      <c r="R104" s="65"/>
      <c r="S104" s="65"/>
      <c r="T104" s="65"/>
      <c r="U104" s="65"/>
      <c r="V104" s="65"/>
      <c r="W104" s="65"/>
      <c r="X104" s="65"/>
      <c r="Y104" s="65"/>
      <c r="Z104" s="65"/>
    </row>
    <row r="105" spans="1:26" ht="12.75" customHeight="1">
      <c r="A105" s="64" t="s">
        <v>706</v>
      </c>
      <c r="B105" s="65" t="s">
        <v>707</v>
      </c>
      <c r="C105" s="65" t="s">
        <v>831</v>
      </c>
      <c r="D105" s="65" t="s">
        <v>831</v>
      </c>
      <c r="E105" s="65" t="s">
        <v>885</v>
      </c>
      <c r="F105" s="65"/>
      <c r="G105" s="65"/>
      <c r="H105" s="65"/>
      <c r="I105" s="65" t="s">
        <v>886</v>
      </c>
      <c r="J105" s="65" t="s">
        <v>556</v>
      </c>
      <c r="K105" s="65"/>
      <c r="L105" s="65"/>
      <c r="M105" s="65"/>
      <c r="N105" s="65"/>
      <c r="O105" s="65"/>
      <c r="P105" s="65"/>
      <c r="Q105" s="65"/>
      <c r="R105" s="65"/>
      <c r="S105" s="65"/>
      <c r="T105" s="65"/>
      <c r="U105" s="65"/>
      <c r="V105" s="65"/>
      <c r="W105" s="65"/>
      <c r="X105" s="65"/>
      <c r="Y105" s="65"/>
      <c r="Z105" s="65"/>
    </row>
    <row r="106" spans="1:26" ht="12.75" customHeight="1">
      <c r="A106" s="64" t="s">
        <v>706</v>
      </c>
      <c r="B106" s="65" t="s">
        <v>707</v>
      </c>
      <c r="C106" s="65" t="s">
        <v>831</v>
      </c>
      <c r="D106" s="65" t="s">
        <v>831</v>
      </c>
      <c r="E106" s="65" t="s">
        <v>887</v>
      </c>
      <c r="F106" s="65"/>
      <c r="G106" s="65"/>
      <c r="H106" s="65"/>
      <c r="I106" s="65" t="s">
        <v>888</v>
      </c>
      <c r="J106" s="65" t="s">
        <v>125</v>
      </c>
      <c r="K106" s="65"/>
      <c r="L106" s="65"/>
      <c r="M106" s="65"/>
      <c r="N106" s="65"/>
      <c r="O106" s="65"/>
      <c r="P106" s="65"/>
      <c r="Q106" s="65"/>
      <c r="R106" s="65"/>
      <c r="S106" s="65"/>
      <c r="T106" s="65"/>
      <c r="U106" s="65"/>
      <c r="V106" s="65"/>
      <c r="W106" s="65"/>
      <c r="X106" s="65"/>
      <c r="Y106" s="65"/>
      <c r="Z106" s="65"/>
    </row>
    <row r="107" spans="1:26" ht="12.75" customHeight="1">
      <c r="A107" s="64" t="s">
        <v>706</v>
      </c>
      <c r="B107" s="65" t="s">
        <v>707</v>
      </c>
      <c r="C107" s="65" t="s">
        <v>831</v>
      </c>
      <c r="D107" s="65" t="s">
        <v>831</v>
      </c>
      <c r="E107" s="65" t="s">
        <v>889</v>
      </c>
      <c r="F107" s="65"/>
      <c r="G107" s="65"/>
      <c r="H107" s="65"/>
      <c r="I107" s="65" t="s">
        <v>890</v>
      </c>
      <c r="J107" s="65" t="s">
        <v>125</v>
      </c>
      <c r="K107" s="65"/>
      <c r="L107" s="65"/>
      <c r="M107" s="65"/>
      <c r="N107" s="65"/>
      <c r="O107" s="65"/>
      <c r="P107" s="65"/>
      <c r="Q107" s="65"/>
      <c r="R107" s="65"/>
      <c r="S107" s="65"/>
      <c r="T107" s="65"/>
      <c r="U107" s="65"/>
      <c r="V107" s="65"/>
      <c r="W107" s="65"/>
      <c r="X107" s="65"/>
      <c r="Y107" s="65"/>
      <c r="Z107" s="65"/>
    </row>
    <row r="108" spans="1:26" ht="12.75" customHeight="1">
      <c r="A108" s="64" t="s">
        <v>706</v>
      </c>
      <c r="B108" s="65" t="s">
        <v>707</v>
      </c>
      <c r="C108" s="65" t="s">
        <v>831</v>
      </c>
      <c r="D108" s="65" t="s">
        <v>831</v>
      </c>
      <c r="E108" s="65" t="s">
        <v>891</v>
      </c>
      <c r="F108" s="65"/>
      <c r="G108" s="65"/>
      <c r="H108" s="65"/>
      <c r="I108" s="65" t="s">
        <v>892</v>
      </c>
      <c r="J108" s="65" t="s">
        <v>125</v>
      </c>
      <c r="K108" s="65"/>
      <c r="L108" s="65"/>
      <c r="M108" s="65"/>
      <c r="N108" s="65"/>
      <c r="O108" s="65"/>
      <c r="P108" s="65"/>
      <c r="Q108" s="65"/>
      <c r="R108" s="65"/>
      <c r="S108" s="65"/>
      <c r="T108" s="65"/>
      <c r="U108" s="65"/>
      <c r="V108" s="65"/>
      <c r="W108" s="65"/>
      <c r="X108" s="65"/>
      <c r="Y108" s="65"/>
      <c r="Z108" s="65"/>
    </row>
    <row r="109" spans="1:26" ht="12.75" customHeight="1">
      <c r="A109" s="64" t="s">
        <v>706</v>
      </c>
      <c r="B109" s="65" t="s">
        <v>707</v>
      </c>
      <c r="C109" s="65" t="s">
        <v>831</v>
      </c>
      <c r="D109" s="65" t="s">
        <v>831</v>
      </c>
      <c r="E109" s="65" t="s">
        <v>893</v>
      </c>
      <c r="F109" s="65"/>
      <c r="G109" s="65"/>
      <c r="H109" s="65"/>
      <c r="I109" s="65" t="s">
        <v>894</v>
      </c>
      <c r="J109" s="65" t="s">
        <v>125</v>
      </c>
      <c r="K109" s="65"/>
      <c r="L109" s="65"/>
      <c r="M109" s="65"/>
      <c r="N109" s="65"/>
      <c r="O109" s="65"/>
      <c r="P109" s="65"/>
      <c r="Q109" s="65"/>
      <c r="R109" s="65"/>
      <c r="S109" s="65"/>
      <c r="T109" s="65"/>
      <c r="U109" s="65"/>
      <c r="V109" s="65"/>
      <c r="W109" s="65"/>
      <c r="X109" s="65"/>
      <c r="Y109" s="65"/>
      <c r="Z109" s="65"/>
    </row>
    <row r="110" spans="1:26" ht="12.75" customHeight="1">
      <c r="A110" s="64" t="s">
        <v>706</v>
      </c>
      <c r="B110" s="65" t="s">
        <v>707</v>
      </c>
      <c r="C110" s="65" t="s">
        <v>831</v>
      </c>
      <c r="D110" s="65" t="s">
        <v>831</v>
      </c>
      <c r="E110" s="65" t="s">
        <v>895</v>
      </c>
      <c r="F110" s="65"/>
      <c r="G110" s="65"/>
      <c r="H110" s="65"/>
      <c r="I110" s="65" t="s">
        <v>896</v>
      </c>
      <c r="J110" s="65" t="s">
        <v>125</v>
      </c>
      <c r="K110" s="65"/>
      <c r="L110" s="65"/>
      <c r="M110" s="65"/>
      <c r="N110" s="65"/>
      <c r="O110" s="65"/>
      <c r="P110" s="65"/>
      <c r="Q110" s="65"/>
      <c r="R110" s="65"/>
      <c r="S110" s="65"/>
      <c r="T110" s="65"/>
      <c r="U110" s="65"/>
      <c r="V110" s="65"/>
      <c r="W110" s="65"/>
      <c r="X110" s="65"/>
      <c r="Y110" s="65"/>
      <c r="Z110" s="65"/>
    </row>
    <row r="111" spans="1:26" ht="12.75" customHeight="1">
      <c r="A111" s="64" t="s">
        <v>706</v>
      </c>
      <c r="B111" s="65" t="s">
        <v>707</v>
      </c>
      <c r="C111" s="65" t="s">
        <v>831</v>
      </c>
      <c r="D111" s="65" t="s">
        <v>831</v>
      </c>
      <c r="E111" s="65" t="s">
        <v>897</v>
      </c>
      <c r="F111" s="65"/>
      <c r="G111" s="65"/>
      <c r="H111" s="65"/>
      <c r="I111" s="65" t="s">
        <v>898</v>
      </c>
      <c r="J111" s="65" t="s">
        <v>125</v>
      </c>
      <c r="K111" s="65"/>
      <c r="L111" s="65"/>
      <c r="M111" s="65"/>
      <c r="N111" s="65"/>
      <c r="O111" s="65"/>
      <c r="P111" s="65"/>
      <c r="Q111" s="65"/>
      <c r="R111" s="65"/>
      <c r="S111" s="65"/>
      <c r="T111" s="65"/>
      <c r="U111" s="65"/>
      <c r="V111" s="65"/>
      <c r="W111" s="65"/>
      <c r="X111" s="65"/>
      <c r="Y111" s="65"/>
      <c r="Z111" s="65"/>
    </row>
    <row r="112" spans="1:26" ht="12.75" customHeight="1">
      <c r="A112" s="64" t="s">
        <v>706</v>
      </c>
      <c r="B112" s="65" t="s">
        <v>707</v>
      </c>
      <c r="C112" s="65" t="s">
        <v>831</v>
      </c>
      <c r="D112" s="65" t="s">
        <v>831</v>
      </c>
      <c r="E112" s="65" t="s">
        <v>899</v>
      </c>
      <c r="F112" s="65"/>
      <c r="G112" s="65"/>
      <c r="H112" s="65"/>
      <c r="I112" s="65" t="s">
        <v>900</v>
      </c>
      <c r="J112" s="65" t="s">
        <v>125</v>
      </c>
      <c r="K112" s="65"/>
      <c r="L112" s="65"/>
      <c r="M112" s="65"/>
      <c r="N112" s="65"/>
      <c r="O112" s="65"/>
      <c r="P112" s="65"/>
      <c r="Q112" s="65"/>
      <c r="R112" s="65"/>
      <c r="S112" s="65"/>
      <c r="T112" s="65"/>
      <c r="U112" s="65"/>
      <c r="V112" s="65"/>
      <c r="W112" s="65"/>
      <c r="X112" s="65"/>
      <c r="Y112" s="65"/>
      <c r="Z112" s="65"/>
    </row>
    <row r="113" spans="1:26" ht="12.75" customHeight="1">
      <c r="A113" s="64" t="s">
        <v>706</v>
      </c>
      <c r="B113" s="65" t="s">
        <v>707</v>
      </c>
      <c r="C113" s="65" t="s">
        <v>831</v>
      </c>
      <c r="D113" s="65" t="s">
        <v>831</v>
      </c>
      <c r="E113" s="65" t="s">
        <v>901</v>
      </c>
      <c r="F113" s="65"/>
      <c r="G113" s="65"/>
      <c r="H113" s="65"/>
      <c r="I113" s="65" t="s">
        <v>902</v>
      </c>
      <c r="J113" s="65" t="s">
        <v>125</v>
      </c>
      <c r="K113" s="65"/>
      <c r="L113" s="65"/>
      <c r="M113" s="65"/>
      <c r="N113" s="65"/>
      <c r="O113" s="65"/>
      <c r="P113" s="65"/>
      <c r="Q113" s="65"/>
      <c r="R113" s="65"/>
      <c r="S113" s="65"/>
      <c r="T113" s="65"/>
      <c r="U113" s="65"/>
      <c r="V113" s="65"/>
      <c r="W113" s="65"/>
      <c r="X113" s="65"/>
      <c r="Y113" s="65"/>
      <c r="Z113" s="65"/>
    </row>
    <row r="114" spans="1:26" ht="12.75" customHeight="1">
      <c r="A114" s="64" t="s">
        <v>706</v>
      </c>
      <c r="B114" s="65" t="s">
        <v>707</v>
      </c>
      <c r="C114" s="65" t="s">
        <v>831</v>
      </c>
      <c r="D114" s="65" t="s">
        <v>831</v>
      </c>
      <c r="E114" s="65" t="s">
        <v>903</v>
      </c>
      <c r="F114" s="65"/>
      <c r="G114" s="65"/>
      <c r="H114" s="65"/>
      <c r="I114" s="65" t="s">
        <v>904</v>
      </c>
      <c r="J114" s="65" t="s">
        <v>125</v>
      </c>
      <c r="K114" s="65"/>
      <c r="L114" s="65"/>
      <c r="M114" s="65"/>
      <c r="N114" s="65"/>
      <c r="O114" s="65"/>
      <c r="P114" s="65"/>
      <c r="Q114" s="65"/>
      <c r="R114" s="65"/>
      <c r="S114" s="65"/>
      <c r="T114" s="65"/>
      <c r="U114" s="65"/>
      <c r="V114" s="65"/>
      <c r="W114" s="65"/>
      <c r="X114" s="65"/>
      <c r="Y114" s="65"/>
      <c r="Z114" s="65"/>
    </row>
    <row r="115" spans="1:26" ht="12.75" customHeight="1">
      <c r="A115" s="64" t="s">
        <v>706</v>
      </c>
      <c r="B115" s="65" t="s">
        <v>707</v>
      </c>
      <c r="C115" s="65" t="s">
        <v>831</v>
      </c>
      <c r="D115" s="65" t="s">
        <v>831</v>
      </c>
      <c r="E115" s="65" t="s">
        <v>905</v>
      </c>
      <c r="F115" s="65"/>
      <c r="G115" s="65"/>
      <c r="H115" s="65"/>
      <c r="I115" s="65" t="s">
        <v>906</v>
      </c>
      <c r="J115" s="65" t="s">
        <v>125</v>
      </c>
      <c r="K115" s="65"/>
      <c r="L115" s="65"/>
      <c r="M115" s="65"/>
      <c r="N115" s="65"/>
      <c r="O115" s="65"/>
      <c r="P115" s="65"/>
      <c r="Q115" s="65"/>
      <c r="R115" s="65"/>
      <c r="S115" s="65"/>
      <c r="T115" s="65"/>
      <c r="U115" s="65"/>
      <c r="V115" s="65"/>
      <c r="W115" s="65"/>
      <c r="X115" s="65"/>
      <c r="Y115" s="65"/>
      <c r="Z115" s="65"/>
    </row>
    <row r="116" spans="1:26" ht="12.75" customHeight="1">
      <c r="A116" s="64" t="s">
        <v>706</v>
      </c>
      <c r="B116" s="65" t="s">
        <v>707</v>
      </c>
      <c r="C116" s="65" t="s">
        <v>831</v>
      </c>
      <c r="D116" s="65" t="s">
        <v>831</v>
      </c>
      <c r="E116" s="65" t="s">
        <v>907</v>
      </c>
      <c r="F116" s="65"/>
      <c r="G116" s="65"/>
      <c r="H116" s="65"/>
      <c r="I116" s="65" t="s">
        <v>908</v>
      </c>
      <c r="J116" s="65" t="s">
        <v>125</v>
      </c>
      <c r="K116" s="65"/>
      <c r="L116" s="65"/>
      <c r="M116" s="65"/>
      <c r="N116" s="65"/>
      <c r="O116" s="65"/>
      <c r="P116" s="65"/>
      <c r="Q116" s="65"/>
      <c r="R116" s="65"/>
      <c r="S116" s="65"/>
      <c r="T116" s="65"/>
      <c r="U116" s="65"/>
      <c r="V116" s="65"/>
      <c r="W116" s="65"/>
      <c r="X116" s="65"/>
      <c r="Y116" s="65"/>
      <c r="Z116" s="65"/>
    </row>
    <row r="117" spans="1:26" ht="12.75" customHeight="1">
      <c r="A117" s="64" t="s">
        <v>706</v>
      </c>
      <c r="B117" s="65" t="s">
        <v>707</v>
      </c>
      <c r="C117" s="65" t="s">
        <v>831</v>
      </c>
      <c r="D117" s="65" t="s">
        <v>831</v>
      </c>
      <c r="E117" s="65" t="s">
        <v>909</v>
      </c>
      <c r="F117" s="65"/>
      <c r="G117" s="65"/>
      <c r="H117" s="65"/>
      <c r="I117" s="65" t="s">
        <v>910</v>
      </c>
      <c r="J117" s="65" t="s">
        <v>125</v>
      </c>
      <c r="K117" s="65"/>
      <c r="L117" s="65"/>
      <c r="M117" s="65"/>
      <c r="N117" s="65"/>
      <c r="O117" s="65"/>
      <c r="P117" s="65"/>
      <c r="Q117" s="65"/>
      <c r="R117" s="65"/>
      <c r="S117" s="65"/>
      <c r="T117" s="65"/>
      <c r="U117" s="65"/>
      <c r="V117" s="65"/>
      <c r="W117" s="65"/>
      <c r="X117" s="65"/>
      <c r="Y117" s="65"/>
      <c r="Z117" s="65"/>
    </row>
    <row r="118" spans="1:26" ht="12.75" customHeight="1">
      <c r="A118" s="64" t="s">
        <v>706</v>
      </c>
      <c r="B118" s="65" t="s">
        <v>707</v>
      </c>
      <c r="C118" s="65" t="s">
        <v>831</v>
      </c>
      <c r="D118" s="65" t="s">
        <v>831</v>
      </c>
      <c r="E118" s="65" t="s">
        <v>911</v>
      </c>
      <c r="F118" s="65"/>
      <c r="G118" s="65"/>
      <c r="H118" s="65"/>
      <c r="I118" s="65" t="s">
        <v>912</v>
      </c>
      <c r="J118" s="65" t="s">
        <v>125</v>
      </c>
      <c r="K118" s="65"/>
      <c r="L118" s="65"/>
      <c r="M118" s="65"/>
      <c r="N118" s="65"/>
      <c r="O118" s="65"/>
      <c r="P118" s="65"/>
      <c r="Q118" s="65"/>
      <c r="R118" s="65"/>
      <c r="S118" s="65"/>
      <c r="T118" s="65"/>
      <c r="U118" s="65"/>
      <c r="V118" s="65"/>
      <c r="W118" s="65"/>
      <c r="X118" s="65"/>
      <c r="Y118" s="65"/>
      <c r="Z118" s="65"/>
    </row>
    <row r="119" spans="1:26" ht="12.75" customHeight="1">
      <c r="A119" s="64" t="s">
        <v>706</v>
      </c>
      <c r="B119" s="65" t="s">
        <v>707</v>
      </c>
      <c r="C119" s="65" t="s">
        <v>831</v>
      </c>
      <c r="D119" s="65" t="s">
        <v>831</v>
      </c>
      <c r="E119" s="65" t="s">
        <v>913</v>
      </c>
      <c r="F119" s="65"/>
      <c r="G119" s="65"/>
      <c r="H119" s="65"/>
      <c r="I119" s="65" t="s">
        <v>914</v>
      </c>
      <c r="J119" s="65" t="s">
        <v>125</v>
      </c>
      <c r="K119" s="65"/>
      <c r="L119" s="65"/>
      <c r="M119" s="65"/>
      <c r="N119" s="65"/>
      <c r="O119" s="65"/>
      <c r="P119" s="65"/>
      <c r="Q119" s="65"/>
      <c r="R119" s="65"/>
      <c r="S119" s="65"/>
      <c r="T119" s="65"/>
      <c r="U119" s="65"/>
      <c r="V119" s="65"/>
      <c r="W119" s="65"/>
      <c r="X119" s="65"/>
      <c r="Y119" s="65"/>
      <c r="Z119" s="65"/>
    </row>
    <row r="120" spans="1:26" ht="12.75" customHeight="1">
      <c r="A120" s="64" t="s">
        <v>706</v>
      </c>
      <c r="B120" s="65" t="s">
        <v>707</v>
      </c>
      <c r="C120" s="65" t="s">
        <v>831</v>
      </c>
      <c r="D120" s="65" t="s">
        <v>831</v>
      </c>
      <c r="E120" s="65" t="s">
        <v>915</v>
      </c>
      <c r="F120" s="65"/>
      <c r="G120" s="65"/>
      <c r="H120" s="65"/>
      <c r="I120" s="65" t="s">
        <v>916</v>
      </c>
      <c r="J120" s="65" t="s">
        <v>125</v>
      </c>
      <c r="K120" s="65"/>
      <c r="L120" s="65"/>
      <c r="M120" s="65"/>
      <c r="N120" s="65"/>
      <c r="O120" s="65"/>
      <c r="P120" s="65"/>
      <c r="Q120" s="65"/>
      <c r="R120" s="65"/>
      <c r="S120" s="65"/>
      <c r="T120" s="65"/>
      <c r="U120" s="65"/>
      <c r="V120" s="65"/>
      <c r="W120" s="65"/>
      <c r="X120" s="65"/>
      <c r="Y120" s="65"/>
      <c r="Z120" s="65"/>
    </row>
    <row r="121" spans="1:26" ht="12.75" customHeight="1">
      <c r="A121" s="64" t="s">
        <v>706</v>
      </c>
      <c r="B121" s="65" t="s">
        <v>707</v>
      </c>
      <c r="C121" s="65" t="s">
        <v>831</v>
      </c>
      <c r="D121" s="65" t="s">
        <v>831</v>
      </c>
      <c r="E121" s="65" t="s">
        <v>917</v>
      </c>
      <c r="F121" s="65"/>
      <c r="G121" s="65"/>
      <c r="H121" s="65"/>
      <c r="I121" s="65" t="s">
        <v>918</v>
      </c>
      <c r="J121" s="65" t="s">
        <v>125</v>
      </c>
      <c r="K121" s="65"/>
      <c r="L121" s="65"/>
      <c r="M121" s="65"/>
      <c r="N121" s="65"/>
      <c r="O121" s="65"/>
      <c r="P121" s="65"/>
      <c r="Q121" s="65"/>
      <c r="R121" s="65"/>
      <c r="S121" s="65"/>
      <c r="T121" s="65"/>
      <c r="U121" s="65"/>
      <c r="V121" s="65"/>
      <c r="W121" s="65"/>
      <c r="X121" s="65"/>
      <c r="Y121" s="65"/>
      <c r="Z121" s="65"/>
    </row>
    <row r="122" spans="1:26" ht="12.75" customHeight="1">
      <c r="A122" s="64" t="s">
        <v>706</v>
      </c>
      <c r="B122" s="65" t="s">
        <v>707</v>
      </c>
      <c r="C122" s="65" t="s">
        <v>831</v>
      </c>
      <c r="D122" s="65" t="s">
        <v>831</v>
      </c>
      <c r="E122" s="65" t="s">
        <v>919</v>
      </c>
      <c r="F122" s="65"/>
      <c r="G122" s="65"/>
      <c r="H122" s="65"/>
      <c r="I122" s="65" t="s">
        <v>920</v>
      </c>
      <c r="J122" s="65" t="s">
        <v>125</v>
      </c>
      <c r="K122" s="65"/>
      <c r="L122" s="65"/>
      <c r="M122" s="65"/>
      <c r="N122" s="65"/>
      <c r="O122" s="65"/>
      <c r="P122" s="65"/>
      <c r="Q122" s="65"/>
      <c r="R122" s="65"/>
      <c r="S122" s="65"/>
      <c r="T122" s="65"/>
      <c r="U122" s="65"/>
      <c r="V122" s="65"/>
      <c r="W122" s="65"/>
      <c r="X122" s="65"/>
      <c r="Y122" s="65"/>
      <c r="Z122" s="65"/>
    </row>
    <row r="123" spans="1:26" ht="12.75" customHeight="1">
      <c r="A123" s="64" t="s">
        <v>706</v>
      </c>
      <c r="B123" s="65" t="s">
        <v>707</v>
      </c>
      <c r="C123" s="65" t="s">
        <v>831</v>
      </c>
      <c r="D123" s="65" t="s">
        <v>831</v>
      </c>
      <c r="E123" s="65" t="s">
        <v>921</v>
      </c>
      <c r="F123" s="65"/>
      <c r="G123" s="65"/>
      <c r="H123" s="65"/>
      <c r="I123" s="65" t="s">
        <v>922</v>
      </c>
      <c r="J123" s="65" t="s">
        <v>125</v>
      </c>
      <c r="K123" s="65"/>
      <c r="L123" s="65"/>
      <c r="M123" s="65"/>
      <c r="N123" s="65"/>
      <c r="O123" s="65"/>
      <c r="P123" s="65"/>
      <c r="Q123" s="65"/>
      <c r="R123" s="65"/>
      <c r="S123" s="65"/>
      <c r="T123" s="65"/>
      <c r="U123" s="65"/>
      <c r="V123" s="65"/>
      <c r="W123" s="65"/>
      <c r="X123" s="65"/>
      <c r="Y123" s="65"/>
      <c r="Z123" s="65"/>
    </row>
    <row r="124" spans="1:26" ht="12.75" customHeight="1">
      <c r="A124" s="64" t="s">
        <v>706</v>
      </c>
      <c r="B124" s="65" t="s">
        <v>707</v>
      </c>
      <c r="C124" s="65" t="s">
        <v>831</v>
      </c>
      <c r="D124" s="65" t="s">
        <v>831</v>
      </c>
      <c r="E124" s="65" t="s">
        <v>923</v>
      </c>
      <c r="F124" s="65"/>
      <c r="G124" s="65"/>
      <c r="H124" s="65"/>
      <c r="I124" s="65" t="s">
        <v>924</v>
      </c>
      <c r="J124" s="65" t="s">
        <v>125</v>
      </c>
      <c r="K124" s="65"/>
      <c r="L124" s="65"/>
      <c r="M124" s="65"/>
      <c r="N124" s="65"/>
      <c r="O124" s="65"/>
      <c r="P124" s="65"/>
      <c r="Q124" s="65"/>
      <c r="R124" s="65"/>
      <c r="S124" s="65"/>
      <c r="T124" s="65"/>
      <c r="U124" s="65"/>
      <c r="V124" s="65"/>
      <c r="W124" s="65"/>
      <c r="X124" s="65"/>
      <c r="Y124" s="65"/>
      <c r="Z124" s="65"/>
    </row>
    <row r="125" spans="1:26" ht="12.75" customHeight="1">
      <c r="A125" s="64" t="s">
        <v>706</v>
      </c>
      <c r="B125" s="65" t="s">
        <v>707</v>
      </c>
      <c r="C125" s="65" t="s">
        <v>831</v>
      </c>
      <c r="D125" s="65" t="s">
        <v>831</v>
      </c>
      <c r="E125" s="65" t="s">
        <v>925</v>
      </c>
      <c r="F125" s="65"/>
      <c r="G125" s="65"/>
      <c r="H125" s="65"/>
      <c r="I125" s="65" t="s">
        <v>926</v>
      </c>
      <c r="J125" s="65" t="s">
        <v>125</v>
      </c>
      <c r="K125" s="65"/>
      <c r="L125" s="65"/>
      <c r="M125" s="65"/>
      <c r="N125" s="65"/>
      <c r="O125" s="65"/>
      <c r="P125" s="65"/>
      <c r="Q125" s="65"/>
      <c r="R125" s="65"/>
      <c r="S125" s="65"/>
      <c r="T125" s="65"/>
      <c r="U125" s="65"/>
      <c r="V125" s="65"/>
      <c r="W125" s="65"/>
      <c r="X125" s="65"/>
      <c r="Y125" s="65"/>
      <c r="Z125" s="65"/>
    </row>
    <row r="126" spans="1:26" ht="12.75" customHeight="1">
      <c r="A126" s="64" t="s">
        <v>706</v>
      </c>
      <c r="B126" s="65" t="s">
        <v>707</v>
      </c>
      <c r="C126" s="65" t="s">
        <v>831</v>
      </c>
      <c r="D126" s="65" t="s">
        <v>831</v>
      </c>
      <c r="E126" s="65" t="s">
        <v>927</v>
      </c>
      <c r="F126" s="65"/>
      <c r="G126" s="65"/>
      <c r="H126" s="65"/>
      <c r="I126" s="65" t="s">
        <v>928</v>
      </c>
      <c r="J126" s="65" t="s">
        <v>125</v>
      </c>
      <c r="K126" s="65"/>
      <c r="L126" s="65"/>
      <c r="M126" s="65"/>
      <c r="N126" s="65"/>
      <c r="O126" s="65"/>
      <c r="P126" s="65"/>
      <c r="Q126" s="65"/>
      <c r="R126" s="65"/>
      <c r="S126" s="65"/>
      <c r="T126" s="65"/>
      <c r="U126" s="65"/>
      <c r="V126" s="65"/>
      <c r="W126" s="65"/>
      <c r="X126" s="65"/>
      <c r="Y126" s="65"/>
      <c r="Z126" s="65"/>
    </row>
    <row r="127" spans="1:26" ht="12.75" customHeight="1">
      <c r="A127" s="64" t="s">
        <v>706</v>
      </c>
      <c r="B127" s="65" t="s">
        <v>707</v>
      </c>
      <c r="C127" s="65" t="s">
        <v>831</v>
      </c>
      <c r="D127" s="65" t="s">
        <v>831</v>
      </c>
      <c r="E127" s="65" t="s">
        <v>929</v>
      </c>
      <c r="F127" s="65"/>
      <c r="G127" s="65"/>
      <c r="H127" s="65"/>
      <c r="I127" s="65" t="s">
        <v>930</v>
      </c>
      <c r="J127" s="65" t="s">
        <v>125</v>
      </c>
      <c r="K127" s="65"/>
      <c r="L127" s="65"/>
      <c r="M127" s="65"/>
      <c r="N127" s="65"/>
      <c r="O127" s="65"/>
      <c r="P127" s="65"/>
      <c r="Q127" s="65"/>
      <c r="R127" s="65"/>
      <c r="S127" s="65"/>
      <c r="T127" s="65"/>
      <c r="U127" s="65"/>
      <c r="V127" s="65"/>
      <c r="W127" s="65"/>
      <c r="X127" s="65"/>
      <c r="Y127" s="65"/>
      <c r="Z127" s="65"/>
    </row>
    <row r="128" spans="1:26" ht="12.75" customHeight="1">
      <c r="A128" s="64" t="s">
        <v>706</v>
      </c>
      <c r="B128" s="65" t="s">
        <v>707</v>
      </c>
      <c r="C128" s="65" t="s">
        <v>831</v>
      </c>
      <c r="D128" s="65" t="s">
        <v>831</v>
      </c>
      <c r="E128" s="65" t="s">
        <v>931</v>
      </c>
      <c r="F128" s="65"/>
      <c r="G128" s="65"/>
      <c r="H128" s="65"/>
      <c r="I128" s="65" t="s">
        <v>932</v>
      </c>
      <c r="J128" s="65" t="s">
        <v>125</v>
      </c>
      <c r="K128" s="65"/>
      <c r="L128" s="65"/>
      <c r="M128" s="65"/>
      <c r="N128" s="65"/>
      <c r="O128" s="65"/>
      <c r="P128" s="65"/>
      <c r="Q128" s="65"/>
      <c r="R128" s="65"/>
      <c r="S128" s="65"/>
      <c r="T128" s="65"/>
      <c r="U128" s="65"/>
      <c r="V128" s="65"/>
      <c r="W128" s="65"/>
      <c r="X128" s="65"/>
      <c r="Y128" s="65"/>
      <c r="Z128" s="65"/>
    </row>
    <row r="129" spans="1:26" ht="12.75" customHeight="1">
      <c r="A129" s="64" t="s">
        <v>706</v>
      </c>
      <c r="B129" s="65" t="s">
        <v>707</v>
      </c>
      <c r="C129" s="65" t="s">
        <v>831</v>
      </c>
      <c r="D129" s="65" t="s">
        <v>831</v>
      </c>
      <c r="E129" s="65" t="s">
        <v>933</v>
      </c>
      <c r="F129" s="65"/>
      <c r="G129" s="65"/>
      <c r="H129" s="65"/>
      <c r="I129" s="65" t="s">
        <v>934</v>
      </c>
      <c r="J129" s="65" t="s">
        <v>125</v>
      </c>
      <c r="K129" s="65"/>
      <c r="L129" s="65"/>
      <c r="M129" s="65"/>
      <c r="N129" s="65"/>
      <c r="O129" s="65"/>
      <c r="P129" s="65"/>
      <c r="Q129" s="65"/>
      <c r="R129" s="65"/>
      <c r="S129" s="65"/>
      <c r="T129" s="65"/>
      <c r="U129" s="65"/>
      <c r="V129" s="65"/>
      <c r="W129" s="65"/>
      <c r="X129" s="65"/>
      <c r="Y129" s="65"/>
      <c r="Z129" s="65"/>
    </row>
    <row r="130" spans="1:26" ht="12.75" customHeight="1">
      <c r="A130" s="64" t="s">
        <v>706</v>
      </c>
      <c r="B130" s="65" t="s">
        <v>707</v>
      </c>
      <c r="C130" s="65" t="s">
        <v>831</v>
      </c>
      <c r="D130" s="65" t="s">
        <v>831</v>
      </c>
      <c r="E130" s="65" t="s">
        <v>935</v>
      </c>
      <c r="F130" s="65"/>
      <c r="G130" s="65"/>
      <c r="H130" s="65"/>
      <c r="I130" s="65" t="s">
        <v>936</v>
      </c>
      <c r="J130" s="65" t="s">
        <v>125</v>
      </c>
      <c r="K130" s="65"/>
      <c r="L130" s="65"/>
      <c r="M130" s="65"/>
      <c r="N130" s="65"/>
      <c r="O130" s="65"/>
      <c r="P130" s="65"/>
      <c r="Q130" s="65"/>
      <c r="R130" s="65"/>
      <c r="S130" s="65"/>
      <c r="T130" s="65"/>
      <c r="U130" s="65"/>
      <c r="V130" s="65"/>
      <c r="W130" s="65"/>
      <c r="X130" s="65"/>
      <c r="Y130" s="65"/>
      <c r="Z130" s="65"/>
    </row>
    <row r="131" spans="1:26" ht="12.75" customHeight="1">
      <c r="A131" s="64" t="s">
        <v>706</v>
      </c>
      <c r="B131" s="65" t="s">
        <v>707</v>
      </c>
      <c r="C131" s="65" t="s">
        <v>831</v>
      </c>
      <c r="D131" s="65" t="s">
        <v>831</v>
      </c>
      <c r="E131" s="65" t="s">
        <v>937</v>
      </c>
      <c r="F131" s="65"/>
      <c r="G131" s="65"/>
      <c r="H131" s="65"/>
      <c r="I131" s="65" t="s">
        <v>938</v>
      </c>
      <c r="J131" s="65" t="s">
        <v>125</v>
      </c>
      <c r="K131" s="65"/>
      <c r="L131" s="65"/>
      <c r="M131" s="65"/>
      <c r="N131" s="65"/>
      <c r="O131" s="65"/>
      <c r="P131" s="65"/>
      <c r="Q131" s="65"/>
      <c r="R131" s="65"/>
      <c r="S131" s="65"/>
      <c r="T131" s="65"/>
      <c r="U131" s="65"/>
      <c r="V131" s="65"/>
      <c r="W131" s="65"/>
      <c r="X131" s="65"/>
      <c r="Y131" s="65"/>
      <c r="Z131" s="65"/>
    </row>
    <row r="132" spans="1:26" ht="12.75" customHeight="1">
      <c r="A132" s="64" t="s">
        <v>706</v>
      </c>
      <c r="B132" s="65" t="s">
        <v>707</v>
      </c>
      <c r="C132" s="65" t="s">
        <v>831</v>
      </c>
      <c r="D132" s="65" t="s">
        <v>831</v>
      </c>
      <c r="E132" s="65" t="s">
        <v>939</v>
      </c>
      <c r="F132" s="65"/>
      <c r="G132" s="65"/>
      <c r="H132" s="65"/>
      <c r="I132" s="65" t="s">
        <v>940</v>
      </c>
      <c r="J132" s="65" t="s">
        <v>125</v>
      </c>
      <c r="K132" s="65"/>
      <c r="L132" s="65"/>
      <c r="M132" s="65"/>
      <c r="N132" s="65"/>
      <c r="O132" s="65"/>
      <c r="P132" s="65"/>
      <c r="Q132" s="65"/>
      <c r="R132" s="65"/>
      <c r="S132" s="65"/>
      <c r="T132" s="65"/>
      <c r="U132" s="65"/>
      <c r="V132" s="65"/>
      <c r="W132" s="65"/>
      <c r="X132" s="65"/>
      <c r="Y132" s="65"/>
      <c r="Z132" s="65"/>
    </row>
    <row r="133" spans="1:26" ht="12.75" customHeight="1">
      <c r="A133" s="64" t="s">
        <v>706</v>
      </c>
      <c r="B133" s="65" t="s">
        <v>707</v>
      </c>
      <c r="C133" s="65" t="s">
        <v>831</v>
      </c>
      <c r="D133" s="65" t="s">
        <v>831</v>
      </c>
      <c r="E133" s="65" t="s">
        <v>941</v>
      </c>
      <c r="F133" s="65"/>
      <c r="G133" s="65"/>
      <c r="H133" s="65"/>
      <c r="I133" s="65" t="s">
        <v>942</v>
      </c>
      <c r="J133" s="65" t="s">
        <v>125</v>
      </c>
      <c r="K133" s="65"/>
      <c r="L133" s="65"/>
      <c r="M133" s="65"/>
      <c r="N133" s="65"/>
      <c r="O133" s="65"/>
      <c r="P133" s="65"/>
      <c r="Q133" s="65"/>
      <c r="R133" s="65"/>
      <c r="S133" s="65"/>
      <c r="T133" s="65"/>
      <c r="U133" s="65"/>
      <c r="V133" s="65"/>
      <c r="W133" s="65"/>
      <c r="X133" s="65"/>
      <c r="Y133" s="65"/>
      <c r="Z133" s="65"/>
    </row>
    <row r="134" spans="1:26" ht="12.75" customHeight="1">
      <c r="A134" s="64" t="s">
        <v>706</v>
      </c>
      <c r="B134" s="65" t="s">
        <v>707</v>
      </c>
      <c r="C134" s="65" t="s">
        <v>831</v>
      </c>
      <c r="D134" s="65" t="s">
        <v>831</v>
      </c>
      <c r="E134" s="65" t="s">
        <v>943</v>
      </c>
      <c r="F134" s="65"/>
      <c r="G134" s="65"/>
      <c r="H134" s="65"/>
      <c r="I134" s="65" t="s">
        <v>944</v>
      </c>
      <c r="J134" s="65" t="s">
        <v>125</v>
      </c>
      <c r="K134" s="65"/>
      <c r="L134" s="65"/>
      <c r="M134" s="65"/>
      <c r="N134" s="65"/>
      <c r="O134" s="65"/>
      <c r="P134" s="65"/>
      <c r="Q134" s="65"/>
      <c r="R134" s="65"/>
      <c r="S134" s="65"/>
      <c r="T134" s="65"/>
      <c r="U134" s="65"/>
      <c r="V134" s="65"/>
      <c r="W134" s="65"/>
      <c r="X134" s="65"/>
      <c r="Y134" s="65"/>
      <c r="Z134" s="65"/>
    </row>
    <row r="135" spans="1:26" ht="12.75" customHeight="1">
      <c r="A135" s="64" t="s">
        <v>706</v>
      </c>
      <c r="B135" s="65" t="s">
        <v>707</v>
      </c>
      <c r="C135" s="65" t="s">
        <v>831</v>
      </c>
      <c r="D135" s="65" t="s">
        <v>831</v>
      </c>
      <c r="E135" s="65" t="s">
        <v>945</v>
      </c>
      <c r="F135" s="65"/>
      <c r="G135" s="65"/>
      <c r="H135" s="65"/>
      <c r="I135" s="65" t="s">
        <v>946</v>
      </c>
      <c r="J135" s="65" t="s">
        <v>125</v>
      </c>
      <c r="K135" s="65"/>
      <c r="L135" s="65"/>
      <c r="M135" s="65"/>
      <c r="N135" s="65"/>
      <c r="O135" s="65"/>
      <c r="P135" s="65"/>
      <c r="Q135" s="65"/>
      <c r="R135" s="65"/>
      <c r="S135" s="65"/>
      <c r="T135" s="65"/>
      <c r="U135" s="65"/>
      <c r="V135" s="65"/>
      <c r="W135" s="65"/>
      <c r="X135" s="65"/>
      <c r="Y135" s="65"/>
      <c r="Z135" s="65"/>
    </row>
    <row r="136" spans="1:26" ht="12.75" customHeight="1">
      <c r="A136" s="64" t="s">
        <v>706</v>
      </c>
      <c r="B136" s="65" t="s">
        <v>707</v>
      </c>
      <c r="C136" s="65" t="s">
        <v>831</v>
      </c>
      <c r="D136" s="65" t="s">
        <v>831</v>
      </c>
      <c r="E136" s="65" t="s">
        <v>947</v>
      </c>
      <c r="F136" s="65"/>
      <c r="G136" s="65"/>
      <c r="H136" s="65"/>
      <c r="I136" s="65" t="s">
        <v>948</v>
      </c>
      <c r="J136" s="65" t="s">
        <v>125</v>
      </c>
      <c r="K136" s="65"/>
      <c r="L136" s="65"/>
      <c r="M136" s="65"/>
      <c r="N136" s="65"/>
      <c r="O136" s="65"/>
      <c r="P136" s="65"/>
      <c r="Q136" s="65"/>
      <c r="R136" s="65"/>
      <c r="S136" s="65"/>
      <c r="T136" s="65"/>
      <c r="U136" s="65"/>
      <c r="V136" s="65"/>
      <c r="W136" s="65"/>
      <c r="X136" s="65"/>
      <c r="Y136" s="65"/>
      <c r="Z136" s="65"/>
    </row>
    <row r="137" spans="1:26" ht="12.75" customHeight="1">
      <c r="A137" s="64" t="s">
        <v>706</v>
      </c>
      <c r="B137" s="65" t="s">
        <v>707</v>
      </c>
      <c r="C137" s="65" t="s">
        <v>831</v>
      </c>
      <c r="D137" s="65" t="s">
        <v>831</v>
      </c>
      <c r="E137" s="65" t="s">
        <v>949</v>
      </c>
      <c r="F137" s="65"/>
      <c r="G137" s="65"/>
      <c r="H137" s="65"/>
      <c r="I137" s="65" t="s">
        <v>950</v>
      </c>
      <c r="J137" s="65" t="s">
        <v>125</v>
      </c>
      <c r="K137" s="65"/>
      <c r="L137" s="65"/>
      <c r="M137" s="65"/>
      <c r="N137" s="65"/>
      <c r="O137" s="65"/>
      <c r="P137" s="65"/>
      <c r="Q137" s="65"/>
      <c r="R137" s="65"/>
      <c r="S137" s="65"/>
      <c r="T137" s="65"/>
      <c r="U137" s="65"/>
      <c r="V137" s="65"/>
      <c r="W137" s="65"/>
      <c r="X137" s="65"/>
      <c r="Y137" s="65"/>
      <c r="Z137" s="65"/>
    </row>
    <row r="138" spans="1:26" ht="12.75" customHeight="1">
      <c r="A138" s="64" t="s">
        <v>706</v>
      </c>
      <c r="B138" s="65" t="s">
        <v>707</v>
      </c>
      <c r="C138" s="65" t="s">
        <v>831</v>
      </c>
      <c r="D138" s="65" t="s">
        <v>831</v>
      </c>
      <c r="E138" s="65" t="s">
        <v>951</v>
      </c>
      <c r="F138" s="65"/>
      <c r="G138" s="65"/>
      <c r="H138" s="65"/>
      <c r="I138" s="65" t="s">
        <v>952</v>
      </c>
      <c r="J138" s="65" t="s">
        <v>125</v>
      </c>
      <c r="K138" s="65"/>
      <c r="L138" s="65"/>
      <c r="M138" s="65"/>
      <c r="N138" s="65"/>
      <c r="O138" s="65"/>
      <c r="P138" s="65"/>
      <c r="Q138" s="65"/>
      <c r="R138" s="65"/>
      <c r="S138" s="65"/>
      <c r="T138" s="65"/>
      <c r="U138" s="65"/>
      <c r="V138" s="65"/>
      <c r="W138" s="65"/>
      <c r="X138" s="65"/>
      <c r="Y138" s="65"/>
      <c r="Z138" s="65"/>
    </row>
    <row r="139" spans="1:26" ht="12.75" customHeight="1">
      <c r="A139" s="64" t="s">
        <v>953</v>
      </c>
      <c r="B139" s="65" t="s">
        <v>707</v>
      </c>
      <c r="C139" s="65" t="s">
        <v>708</v>
      </c>
      <c r="D139" s="65" t="s">
        <v>954</v>
      </c>
      <c r="E139" s="65" t="s">
        <v>955</v>
      </c>
      <c r="F139" s="65"/>
      <c r="G139" s="65"/>
      <c r="H139" s="65"/>
      <c r="I139" s="65" t="s">
        <v>956</v>
      </c>
      <c r="J139" s="65" t="s">
        <v>125</v>
      </c>
      <c r="K139" s="65"/>
      <c r="L139" s="65"/>
      <c r="M139" s="65"/>
      <c r="N139" s="65"/>
      <c r="O139" s="65"/>
      <c r="P139" s="65"/>
      <c r="Q139" s="65"/>
      <c r="R139" s="65"/>
      <c r="S139" s="65"/>
      <c r="T139" s="65"/>
      <c r="U139" s="65"/>
      <c r="V139" s="65"/>
      <c r="W139" s="65"/>
      <c r="X139" s="65"/>
      <c r="Y139" s="65"/>
      <c r="Z139" s="65"/>
    </row>
    <row r="140" spans="1:26" ht="12.75" customHeight="1">
      <c r="A140" s="64" t="s">
        <v>953</v>
      </c>
      <c r="B140" s="65" t="s">
        <v>707</v>
      </c>
      <c r="C140" s="65" t="s">
        <v>708</v>
      </c>
      <c r="D140" s="65" t="s">
        <v>954</v>
      </c>
      <c r="E140" s="65" t="s">
        <v>957</v>
      </c>
      <c r="F140" s="65"/>
      <c r="G140" s="65"/>
      <c r="H140" s="65"/>
      <c r="I140" s="65" t="s">
        <v>958</v>
      </c>
      <c r="J140" s="65" t="s">
        <v>125</v>
      </c>
      <c r="K140" s="65"/>
      <c r="L140" s="65"/>
      <c r="M140" s="65"/>
      <c r="N140" s="65"/>
      <c r="O140" s="65"/>
      <c r="P140" s="65"/>
      <c r="Q140" s="65"/>
      <c r="R140" s="65"/>
      <c r="S140" s="65"/>
      <c r="T140" s="65"/>
      <c r="U140" s="65"/>
      <c r="V140" s="65"/>
      <c r="W140" s="65"/>
      <c r="X140" s="65"/>
      <c r="Y140" s="65"/>
      <c r="Z140" s="65"/>
    </row>
    <row r="141" spans="1:26" ht="12.75" customHeight="1">
      <c r="A141" s="64" t="s">
        <v>953</v>
      </c>
      <c r="B141" s="65" t="s">
        <v>707</v>
      </c>
      <c r="C141" s="65" t="s">
        <v>708</v>
      </c>
      <c r="D141" s="65" t="s">
        <v>954</v>
      </c>
      <c r="E141" s="65" t="s">
        <v>959</v>
      </c>
      <c r="F141" s="65"/>
      <c r="G141" s="65"/>
      <c r="H141" s="65"/>
      <c r="I141" s="65" t="s">
        <v>960</v>
      </c>
      <c r="J141" s="65" t="s">
        <v>125</v>
      </c>
      <c r="K141" s="65"/>
      <c r="L141" s="65"/>
      <c r="M141" s="65"/>
      <c r="N141" s="65"/>
      <c r="O141" s="65"/>
      <c r="P141" s="65"/>
      <c r="Q141" s="65"/>
      <c r="R141" s="65"/>
      <c r="S141" s="65"/>
      <c r="T141" s="65"/>
      <c r="U141" s="65"/>
      <c r="V141" s="65"/>
      <c r="W141" s="65"/>
      <c r="X141" s="65"/>
      <c r="Y141" s="65"/>
      <c r="Z141" s="65"/>
    </row>
    <row r="142" spans="1:26" ht="12.75" customHeight="1">
      <c r="A142" s="64" t="s">
        <v>953</v>
      </c>
      <c r="B142" s="65" t="s">
        <v>707</v>
      </c>
      <c r="C142" s="65" t="s">
        <v>708</v>
      </c>
      <c r="D142" s="65" t="s">
        <v>954</v>
      </c>
      <c r="E142" s="65" t="s">
        <v>961</v>
      </c>
      <c r="F142" s="65"/>
      <c r="G142" s="65"/>
      <c r="H142" s="65"/>
      <c r="I142" s="65" t="s">
        <v>962</v>
      </c>
      <c r="J142" s="65" t="s">
        <v>125</v>
      </c>
      <c r="K142" s="65"/>
      <c r="L142" s="65"/>
      <c r="M142" s="65"/>
      <c r="N142" s="65"/>
      <c r="O142" s="65"/>
      <c r="P142" s="65"/>
      <c r="Q142" s="65"/>
      <c r="R142" s="65"/>
      <c r="S142" s="65"/>
      <c r="T142" s="65"/>
      <c r="U142" s="65"/>
      <c r="V142" s="65"/>
      <c r="W142" s="65"/>
      <c r="X142" s="65"/>
      <c r="Y142" s="65"/>
      <c r="Z142" s="65"/>
    </row>
    <row r="143" spans="1:26" ht="12.75" customHeight="1">
      <c r="A143" s="64" t="s">
        <v>953</v>
      </c>
      <c r="B143" s="65" t="s">
        <v>707</v>
      </c>
      <c r="C143" s="65" t="s">
        <v>708</v>
      </c>
      <c r="D143" s="65" t="s">
        <v>954</v>
      </c>
      <c r="E143" s="65" t="s">
        <v>963</v>
      </c>
      <c r="F143" s="65"/>
      <c r="G143" s="65"/>
      <c r="H143" s="65"/>
      <c r="I143" s="65" t="s">
        <v>964</v>
      </c>
      <c r="J143" s="65" t="s">
        <v>125</v>
      </c>
      <c r="K143" s="65"/>
      <c r="L143" s="65"/>
      <c r="M143" s="65"/>
      <c r="N143" s="65"/>
      <c r="O143" s="65"/>
      <c r="P143" s="65"/>
      <c r="Q143" s="65"/>
      <c r="R143" s="65"/>
      <c r="S143" s="65"/>
      <c r="T143" s="65"/>
      <c r="U143" s="65"/>
      <c r="V143" s="65"/>
      <c r="W143" s="65"/>
      <c r="X143" s="65"/>
      <c r="Y143" s="65"/>
      <c r="Z143" s="65"/>
    </row>
    <row r="144" spans="1:26" ht="12.75" customHeight="1">
      <c r="A144" s="64" t="s">
        <v>953</v>
      </c>
      <c r="B144" s="65" t="s">
        <v>707</v>
      </c>
      <c r="C144" s="65" t="s">
        <v>708</v>
      </c>
      <c r="D144" s="65" t="s">
        <v>954</v>
      </c>
      <c r="E144" s="65" t="s">
        <v>965</v>
      </c>
      <c r="F144" s="65"/>
      <c r="G144" s="65"/>
      <c r="H144" s="65"/>
      <c r="I144" s="65" t="s">
        <v>966</v>
      </c>
      <c r="J144" s="65" t="s">
        <v>125</v>
      </c>
      <c r="K144" s="65"/>
      <c r="L144" s="65"/>
      <c r="M144" s="65"/>
      <c r="N144" s="65"/>
      <c r="O144" s="65"/>
      <c r="P144" s="65"/>
      <c r="Q144" s="65"/>
      <c r="R144" s="65"/>
      <c r="S144" s="65"/>
      <c r="T144" s="65"/>
      <c r="U144" s="65"/>
      <c r="V144" s="65"/>
      <c r="W144" s="65"/>
      <c r="X144" s="65"/>
      <c r="Y144" s="65"/>
      <c r="Z144" s="65"/>
    </row>
    <row r="145" spans="1:26" ht="12.75" customHeight="1">
      <c r="A145" s="64" t="s">
        <v>953</v>
      </c>
      <c r="B145" s="65" t="s">
        <v>707</v>
      </c>
      <c r="C145" s="65" t="s">
        <v>708</v>
      </c>
      <c r="D145" s="65" t="s">
        <v>954</v>
      </c>
      <c r="E145" s="65" t="s">
        <v>967</v>
      </c>
      <c r="F145" s="65"/>
      <c r="G145" s="65"/>
      <c r="H145" s="65"/>
      <c r="I145" s="65" t="s">
        <v>968</v>
      </c>
      <c r="J145" s="65" t="s">
        <v>125</v>
      </c>
      <c r="K145" s="65"/>
      <c r="L145" s="65"/>
      <c r="M145" s="65"/>
      <c r="N145" s="65"/>
      <c r="O145" s="65"/>
      <c r="P145" s="65"/>
      <c r="Q145" s="65"/>
      <c r="R145" s="65"/>
      <c r="S145" s="65"/>
      <c r="T145" s="65"/>
      <c r="U145" s="65"/>
      <c r="V145" s="65"/>
      <c r="W145" s="65"/>
      <c r="X145" s="65"/>
      <c r="Y145" s="65"/>
      <c r="Z145" s="65"/>
    </row>
    <row r="146" spans="1:26" ht="12.75" customHeight="1">
      <c r="A146" s="64" t="s">
        <v>953</v>
      </c>
      <c r="B146" s="65" t="s">
        <v>707</v>
      </c>
      <c r="C146" s="65" t="s">
        <v>708</v>
      </c>
      <c r="D146" s="65" t="s">
        <v>954</v>
      </c>
      <c r="E146" s="65" t="s">
        <v>969</v>
      </c>
      <c r="F146" s="65"/>
      <c r="G146" s="65"/>
      <c r="H146" s="65"/>
      <c r="I146" s="65" t="s">
        <v>970</v>
      </c>
      <c r="J146" s="65" t="s">
        <v>125</v>
      </c>
      <c r="K146" s="65"/>
      <c r="L146" s="65"/>
      <c r="M146" s="65"/>
      <c r="N146" s="65"/>
      <c r="O146" s="65"/>
      <c r="P146" s="65"/>
      <c r="Q146" s="65"/>
      <c r="R146" s="65"/>
      <c r="S146" s="65"/>
      <c r="T146" s="65"/>
      <c r="U146" s="65"/>
      <c r="V146" s="65"/>
      <c r="W146" s="65"/>
      <c r="X146" s="65"/>
      <c r="Y146" s="65"/>
      <c r="Z146" s="65"/>
    </row>
    <row r="147" spans="1:26" ht="12.75" customHeight="1">
      <c r="A147" s="64" t="s">
        <v>953</v>
      </c>
      <c r="B147" s="65" t="s">
        <v>707</v>
      </c>
      <c r="C147" s="65" t="s">
        <v>708</v>
      </c>
      <c r="D147" s="65" t="s">
        <v>954</v>
      </c>
      <c r="E147" s="65" t="s">
        <v>971</v>
      </c>
      <c r="F147" s="65"/>
      <c r="G147" s="65"/>
      <c r="H147" s="65"/>
      <c r="I147" s="65" t="s">
        <v>972</v>
      </c>
      <c r="J147" s="65" t="s">
        <v>125</v>
      </c>
      <c r="K147" s="65"/>
      <c r="L147" s="65"/>
      <c r="M147" s="65"/>
      <c r="N147" s="65"/>
      <c r="O147" s="65"/>
      <c r="P147" s="65"/>
      <c r="Q147" s="65"/>
      <c r="R147" s="65"/>
      <c r="S147" s="65"/>
      <c r="T147" s="65"/>
      <c r="U147" s="65"/>
      <c r="V147" s="65"/>
      <c r="W147" s="65"/>
      <c r="X147" s="65"/>
      <c r="Y147" s="65"/>
      <c r="Z147" s="65"/>
    </row>
    <row r="148" spans="1:26" ht="12.75" customHeight="1">
      <c r="A148" s="64" t="s">
        <v>953</v>
      </c>
      <c r="B148" s="65" t="s">
        <v>707</v>
      </c>
      <c r="C148" s="65" t="s">
        <v>708</v>
      </c>
      <c r="D148" s="65" t="s">
        <v>954</v>
      </c>
      <c r="E148" s="65" t="s">
        <v>973</v>
      </c>
      <c r="F148" s="65"/>
      <c r="G148" s="65"/>
      <c r="H148" s="65"/>
      <c r="I148" s="65" t="s">
        <v>974</v>
      </c>
      <c r="J148" s="65" t="s">
        <v>125</v>
      </c>
      <c r="K148" s="65"/>
      <c r="L148" s="65"/>
      <c r="M148" s="65"/>
      <c r="N148" s="65"/>
      <c r="O148" s="65"/>
      <c r="P148" s="65"/>
      <c r="Q148" s="65"/>
      <c r="R148" s="65"/>
      <c r="S148" s="65"/>
      <c r="T148" s="65"/>
      <c r="U148" s="65"/>
      <c r="V148" s="65"/>
      <c r="W148" s="65"/>
      <c r="X148" s="65"/>
      <c r="Y148" s="65"/>
      <c r="Z148" s="65"/>
    </row>
    <row r="149" spans="1:26" ht="12.75" customHeight="1">
      <c r="A149" s="64" t="s">
        <v>953</v>
      </c>
      <c r="B149" s="65" t="s">
        <v>707</v>
      </c>
      <c r="C149" s="65" t="s">
        <v>708</v>
      </c>
      <c r="D149" s="65" t="s">
        <v>954</v>
      </c>
      <c r="E149" s="65" t="s">
        <v>975</v>
      </c>
      <c r="F149" s="65"/>
      <c r="G149" s="65"/>
      <c r="H149" s="65"/>
      <c r="I149" s="65" t="s">
        <v>976</v>
      </c>
      <c r="J149" s="65" t="s">
        <v>125</v>
      </c>
      <c r="K149" s="65"/>
      <c r="L149" s="65"/>
      <c r="M149" s="65"/>
      <c r="N149" s="65"/>
      <c r="O149" s="65"/>
      <c r="P149" s="65"/>
      <c r="Q149" s="65"/>
      <c r="R149" s="65"/>
      <c r="S149" s="65"/>
      <c r="T149" s="65"/>
      <c r="U149" s="65"/>
      <c r="V149" s="65"/>
      <c r="W149" s="65"/>
      <c r="X149" s="65"/>
      <c r="Y149" s="65"/>
      <c r="Z149" s="65"/>
    </row>
    <row r="150" spans="1:26" ht="12.75" customHeight="1">
      <c r="A150" s="64" t="s">
        <v>953</v>
      </c>
      <c r="B150" s="65" t="s">
        <v>707</v>
      </c>
      <c r="C150" s="65" t="s">
        <v>708</v>
      </c>
      <c r="D150" s="65" t="s">
        <v>954</v>
      </c>
      <c r="E150" s="65" t="s">
        <v>977</v>
      </c>
      <c r="F150" s="65"/>
      <c r="G150" s="65"/>
      <c r="H150" s="65"/>
      <c r="I150" s="65" t="s">
        <v>978</v>
      </c>
      <c r="J150" s="65" t="s">
        <v>125</v>
      </c>
      <c r="K150" s="65"/>
      <c r="L150" s="65"/>
      <c r="M150" s="65"/>
      <c r="N150" s="65"/>
      <c r="O150" s="65"/>
      <c r="P150" s="65"/>
      <c r="Q150" s="65"/>
      <c r="R150" s="65"/>
      <c r="S150" s="65"/>
      <c r="T150" s="65"/>
      <c r="U150" s="65"/>
      <c r="V150" s="65"/>
      <c r="W150" s="65"/>
      <c r="X150" s="65"/>
      <c r="Y150" s="65"/>
      <c r="Z150" s="65"/>
    </row>
    <row r="151" spans="1:26" ht="12.75" customHeight="1">
      <c r="A151" s="64" t="s">
        <v>953</v>
      </c>
      <c r="B151" s="65" t="s">
        <v>707</v>
      </c>
      <c r="C151" s="65" t="s">
        <v>708</v>
      </c>
      <c r="D151" s="65" t="s">
        <v>954</v>
      </c>
      <c r="E151" s="65" t="s">
        <v>979</v>
      </c>
      <c r="F151" s="65"/>
      <c r="G151" s="65"/>
      <c r="H151" s="65"/>
      <c r="I151" s="65" t="s">
        <v>980</v>
      </c>
      <c r="J151" s="65" t="s">
        <v>125</v>
      </c>
      <c r="K151" s="65"/>
      <c r="L151" s="65"/>
      <c r="M151" s="65"/>
      <c r="N151" s="65"/>
      <c r="O151" s="65"/>
      <c r="P151" s="65"/>
      <c r="Q151" s="65"/>
      <c r="R151" s="65"/>
      <c r="S151" s="65"/>
      <c r="T151" s="65"/>
      <c r="U151" s="65"/>
      <c r="V151" s="65"/>
      <c r="W151" s="65"/>
      <c r="X151" s="65"/>
      <c r="Y151" s="65"/>
      <c r="Z151" s="65"/>
    </row>
    <row r="152" spans="1:26" ht="12.75" customHeight="1">
      <c r="A152" s="64" t="s">
        <v>953</v>
      </c>
      <c r="B152" s="65" t="s">
        <v>707</v>
      </c>
      <c r="C152" s="65" t="s">
        <v>708</v>
      </c>
      <c r="D152" s="65" t="s">
        <v>954</v>
      </c>
      <c r="E152" s="65" t="s">
        <v>981</v>
      </c>
      <c r="F152" s="65"/>
      <c r="G152" s="65"/>
      <c r="H152" s="65"/>
      <c r="I152" s="65" t="s">
        <v>982</v>
      </c>
      <c r="J152" s="65" t="s">
        <v>125</v>
      </c>
      <c r="K152" s="65"/>
      <c r="L152" s="65"/>
      <c r="M152" s="65"/>
      <c r="N152" s="65"/>
      <c r="O152" s="65"/>
      <c r="P152" s="65"/>
      <c r="Q152" s="65"/>
      <c r="R152" s="65"/>
      <c r="S152" s="65"/>
      <c r="T152" s="65"/>
      <c r="U152" s="65"/>
      <c r="V152" s="65"/>
      <c r="W152" s="65"/>
      <c r="X152" s="65"/>
      <c r="Y152" s="65"/>
      <c r="Z152" s="65"/>
    </row>
    <row r="153" spans="1:26" ht="12.75" customHeight="1">
      <c r="A153" s="64" t="s">
        <v>953</v>
      </c>
      <c r="B153" s="65" t="s">
        <v>707</v>
      </c>
      <c r="C153" s="65" t="s">
        <v>708</v>
      </c>
      <c r="D153" s="65" t="s">
        <v>954</v>
      </c>
      <c r="E153" s="65" t="s">
        <v>983</v>
      </c>
      <c r="F153" s="65"/>
      <c r="G153" s="65"/>
      <c r="H153" s="65"/>
      <c r="I153" s="65" t="s">
        <v>984</v>
      </c>
      <c r="J153" s="65" t="s">
        <v>125</v>
      </c>
      <c r="K153" s="65"/>
      <c r="L153" s="65"/>
      <c r="M153" s="65"/>
      <c r="N153" s="65"/>
      <c r="O153" s="65"/>
      <c r="P153" s="65"/>
      <c r="Q153" s="65"/>
      <c r="R153" s="65"/>
      <c r="S153" s="65"/>
      <c r="T153" s="65"/>
      <c r="U153" s="65"/>
      <c r="V153" s="65"/>
      <c r="W153" s="65"/>
      <c r="X153" s="65"/>
      <c r="Y153" s="65"/>
      <c r="Z153" s="65"/>
    </row>
    <row r="154" spans="1:26" ht="12.75" customHeight="1">
      <c r="A154" s="64" t="s">
        <v>953</v>
      </c>
      <c r="B154" s="65" t="s">
        <v>707</v>
      </c>
      <c r="C154" s="65" t="s">
        <v>708</v>
      </c>
      <c r="D154" s="65" t="s">
        <v>954</v>
      </c>
      <c r="E154" s="65" t="s">
        <v>985</v>
      </c>
      <c r="F154" s="65"/>
      <c r="G154" s="65"/>
      <c r="H154" s="65"/>
      <c r="I154" s="65" t="s">
        <v>986</v>
      </c>
      <c r="J154" s="65" t="s">
        <v>125</v>
      </c>
      <c r="K154" s="65"/>
      <c r="L154" s="65"/>
      <c r="M154" s="65"/>
      <c r="N154" s="65"/>
      <c r="O154" s="65"/>
      <c r="P154" s="65"/>
      <c r="Q154" s="65"/>
      <c r="R154" s="65"/>
      <c r="S154" s="65"/>
      <c r="T154" s="65"/>
      <c r="U154" s="65"/>
      <c r="V154" s="65"/>
      <c r="W154" s="65"/>
      <c r="X154" s="65"/>
      <c r="Y154" s="65"/>
      <c r="Z154" s="65"/>
    </row>
    <row r="155" spans="1:26" ht="12.75" customHeight="1">
      <c r="A155" s="64" t="s">
        <v>953</v>
      </c>
      <c r="B155" s="65" t="s">
        <v>707</v>
      </c>
      <c r="C155" s="65" t="s">
        <v>708</v>
      </c>
      <c r="D155" s="65" t="s">
        <v>954</v>
      </c>
      <c r="E155" s="65" t="s">
        <v>987</v>
      </c>
      <c r="F155" s="65"/>
      <c r="G155" s="65"/>
      <c r="H155" s="65"/>
      <c r="I155" s="65" t="s">
        <v>988</v>
      </c>
      <c r="J155" s="65" t="s">
        <v>125</v>
      </c>
      <c r="K155" s="65"/>
      <c r="L155" s="65"/>
      <c r="M155" s="65"/>
      <c r="N155" s="65"/>
      <c r="O155" s="65"/>
      <c r="P155" s="65"/>
      <c r="Q155" s="65"/>
      <c r="R155" s="65"/>
      <c r="S155" s="65"/>
      <c r="T155" s="65"/>
      <c r="U155" s="65"/>
      <c r="V155" s="65"/>
      <c r="W155" s="65"/>
      <c r="X155" s="65"/>
      <c r="Y155" s="65"/>
      <c r="Z155" s="65"/>
    </row>
    <row r="156" spans="1:26" ht="12.75" customHeight="1">
      <c r="A156" s="64" t="s">
        <v>953</v>
      </c>
      <c r="B156" s="65" t="s">
        <v>707</v>
      </c>
      <c r="C156" s="65" t="s">
        <v>708</v>
      </c>
      <c r="D156" s="65" t="s">
        <v>954</v>
      </c>
      <c r="E156" s="65" t="s">
        <v>989</v>
      </c>
      <c r="F156" s="65"/>
      <c r="G156" s="65"/>
      <c r="H156" s="65"/>
      <c r="I156" s="65" t="s">
        <v>990</v>
      </c>
      <c r="J156" s="65" t="s">
        <v>125</v>
      </c>
      <c r="K156" s="65"/>
      <c r="L156" s="65"/>
      <c r="M156" s="65"/>
      <c r="N156" s="65"/>
      <c r="O156" s="65"/>
      <c r="P156" s="65"/>
      <c r="Q156" s="65"/>
      <c r="R156" s="65"/>
      <c r="S156" s="65"/>
      <c r="T156" s="65"/>
      <c r="U156" s="65"/>
      <c r="V156" s="65"/>
      <c r="W156" s="65"/>
      <c r="X156" s="65"/>
      <c r="Y156" s="65"/>
      <c r="Z156" s="65"/>
    </row>
    <row r="157" spans="1:26" ht="12.75" customHeight="1">
      <c r="A157" s="64" t="s">
        <v>953</v>
      </c>
      <c r="B157" s="65" t="s">
        <v>707</v>
      </c>
      <c r="C157" s="65" t="s">
        <v>708</v>
      </c>
      <c r="D157" s="65" t="s">
        <v>954</v>
      </c>
      <c r="E157" s="65" t="s">
        <v>991</v>
      </c>
      <c r="F157" s="65"/>
      <c r="G157" s="65"/>
      <c r="H157" s="65"/>
      <c r="I157" s="65" t="s">
        <v>992</v>
      </c>
      <c r="J157" s="65" t="s">
        <v>125</v>
      </c>
      <c r="K157" s="65"/>
      <c r="L157" s="65"/>
      <c r="M157" s="65"/>
      <c r="N157" s="65"/>
      <c r="O157" s="65"/>
      <c r="P157" s="65"/>
      <c r="Q157" s="65"/>
      <c r="R157" s="65"/>
      <c r="S157" s="65"/>
      <c r="T157" s="65"/>
      <c r="U157" s="65"/>
      <c r="V157" s="65"/>
      <c r="W157" s="65"/>
      <c r="X157" s="65"/>
      <c r="Y157" s="65"/>
      <c r="Z157" s="65"/>
    </row>
    <row r="158" spans="1:26" ht="12.75" customHeight="1">
      <c r="A158" s="64" t="s">
        <v>953</v>
      </c>
      <c r="B158" s="65" t="s">
        <v>707</v>
      </c>
      <c r="C158" s="65" t="s">
        <v>708</v>
      </c>
      <c r="D158" s="65" t="s">
        <v>954</v>
      </c>
      <c r="E158" s="65" t="s">
        <v>993</v>
      </c>
      <c r="F158" s="65"/>
      <c r="G158" s="65"/>
      <c r="H158" s="65"/>
      <c r="I158" s="65" t="s">
        <v>994</v>
      </c>
      <c r="J158" s="65" t="s">
        <v>125</v>
      </c>
      <c r="K158" s="65"/>
      <c r="L158" s="65"/>
      <c r="M158" s="65"/>
      <c r="N158" s="65"/>
      <c r="O158" s="65"/>
      <c r="P158" s="65"/>
      <c r="Q158" s="65"/>
      <c r="R158" s="65"/>
      <c r="S158" s="65"/>
      <c r="T158" s="65"/>
      <c r="U158" s="65"/>
      <c r="V158" s="65"/>
      <c r="W158" s="65"/>
      <c r="X158" s="65"/>
      <c r="Y158" s="65"/>
      <c r="Z158" s="65"/>
    </row>
    <row r="159" spans="1:26" ht="12.75" customHeight="1">
      <c r="A159" s="64" t="s">
        <v>953</v>
      </c>
      <c r="B159" s="65" t="s">
        <v>707</v>
      </c>
      <c r="C159" s="65" t="s">
        <v>708</v>
      </c>
      <c r="D159" s="65" t="s">
        <v>954</v>
      </c>
      <c r="E159" s="65" t="s">
        <v>995</v>
      </c>
      <c r="F159" s="65"/>
      <c r="G159" s="65"/>
      <c r="H159" s="65"/>
      <c r="I159" s="65" t="s">
        <v>996</v>
      </c>
      <c r="J159" s="65" t="s">
        <v>125</v>
      </c>
      <c r="K159" s="65"/>
      <c r="L159" s="65"/>
      <c r="M159" s="65"/>
      <c r="N159" s="65"/>
      <c r="O159" s="65"/>
      <c r="P159" s="65"/>
      <c r="Q159" s="65"/>
      <c r="R159" s="65"/>
      <c r="S159" s="65"/>
      <c r="T159" s="65"/>
      <c r="U159" s="65"/>
      <c r="V159" s="65"/>
      <c r="W159" s="65"/>
      <c r="X159" s="65"/>
      <c r="Y159" s="65"/>
      <c r="Z159" s="65"/>
    </row>
    <row r="160" spans="1:26" ht="12.75" customHeight="1">
      <c r="A160" s="64" t="s">
        <v>953</v>
      </c>
      <c r="B160" s="65" t="s">
        <v>707</v>
      </c>
      <c r="C160" s="65" t="s">
        <v>708</v>
      </c>
      <c r="D160" s="65" t="s">
        <v>954</v>
      </c>
      <c r="E160" s="65" t="s">
        <v>997</v>
      </c>
      <c r="F160" s="65"/>
      <c r="G160" s="65"/>
      <c r="H160" s="65"/>
      <c r="I160" s="65" t="s">
        <v>998</v>
      </c>
      <c r="J160" s="65" t="s">
        <v>125</v>
      </c>
      <c r="K160" s="65"/>
      <c r="L160" s="65"/>
      <c r="M160" s="65"/>
      <c r="N160" s="65"/>
      <c r="O160" s="65"/>
      <c r="P160" s="65"/>
      <c r="Q160" s="65"/>
      <c r="R160" s="65"/>
      <c r="S160" s="65"/>
      <c r="T160" s="65"/>
      <c r="U160" s="65"/>
      <c r="V160" s="65"/>
      <c r="W160" s="65"/>
      <c r="X160" s="65"/>
      <c r="Y160" s="65"/>
      <c r="Z160" s="65"/>
    </row>
    <row r="161" spans="1:26" ht="12.75" customHeight="1">
      <c r="A161" s="64" t="s">
        <v>953</v>
      </c>
      <c r="B161" s="65" t="s">
        <v>707</v>
      </c>
      <c r="C161" s="65" t="s">
        <v>708</v>
      </c>
      <c r="D161" s="65" t="s">
        <v>954</v>
      </c>
      <c r="E161" s="65" t="s">
        <v>999</v>
      </c>
      <c r="F161" s="65"/>
      <c r="G161" s="65"/>
      <c r="H161" s="65"/>
      <c r="I161" s="65" t="s">
        <v>1000</v>
      </c>
      <c r="J161" s="65" t="s">
        <v>125</v>
      </c>
      <c r="K161" s="65"/>
      <c r="L161" s="65"/>
      <c r="M161" s="65"/>
      <c r="N161" s="65"/>
      <c r="O161" s="65"/>
      <c r="P161" s="65"/>
      <c r="Q161" s="65"/>
      <c r="R161" s="65"/>
      <c r="S161" s="65"/>
      <c r="T161" s="65"/>
      <c r="U161" s="65"/>
      <c r="V161" s="65"/>
      <c r="W161" s="65"/>
      <c r="X161" s="65"/>
      <c r="Y161" s="65"/>
      <c r="Z161" s="65"/>
    </row>
    <row r="162" spans="1:26" ht="12.75" customHeight="1">
      <c r="A162" s="64" t="s">
        <v>953</v>
      </c>
      <c r="B162" s="65" t="s">
        <v>707</v>
      </c>
      <c r="C162" s="65" t="s">
        <v>708</v>
      </c>
      <c r="D162" s="65" t="s">
        <v>954</v>
      </c>
      <c r="E162" s="65" t="s">
        <v>1001</v>
      </c>
      <c r="F162" s="65"/>
      <c r="G162" s="65"/>
      <c r="H162" s="65"/>
      <c r="I162" s="65" t="s">
        <v>1002</v>
      </c>
      <c r="J162" s="65" t="s">
        <v>125</v>
      </c>
      <c r="K162" s="65"/>
      <c r="L162" s="65"/>
      <c r="M162" s="65"/>
      <c r="N162" s="65"/>
      <c r="O162" s="65"/>
      <c r="P162" s="65"/>
      <c r="Q162" s="65"/>
      <c r="R162" s="65"/>
      <c r="S162" s="65"/>
      <c r="T162" s="65"/>
      <c r="U162" s="65"/>
      <c r="V162" s="65"/>
      <c r="W162" s="65"/>
      <c r="X162" s="65"/>
      <c r="Y162" s="65"/>
      <c r="Z162" s="65"/>
    </row>
    <row r="163" spans="1:26" ht="12.75" customHeight="1">
      <c r="A163" s="64" t="s">
        <v>953</v>
      </c>
      <c r="B163" s="65" t="s">
        <v>707</v>
      </c>
      <c r="C163" s="65" t="s">
        <v>708</v>
      </c>
      <c r="D163" s="65" t="s">
        <v>954</v>
      </c>
      <c r="E163" s="65" t="s">
        <v>1003</v>
      </c>
      <c r="F163" s="65"/>
      <c r="G163" s="65"/>
      <c r="H163" s="65"/>
      <c r="I163" s="65" t="s">
        <v>1004</v>
      </c>
      <c r="J163" s="65" t="s">
        <v>125</v>
      </c>
      <c r="K163" s="65"/>
      <c r="L163" s="65"/>
      <c r="M163" s="65"/>
      <c r="N163" s="65"/>
      <c r="O163" s="65"/>
      <c r="P163" s="65"/>
      <c r="Q163" s="65"/>
      <c r="R163" s="65"/>
      <c r="S163" s="65"/>
      <c r="T163" s="65"/>
      <c r="U163" s="65"/>
      <c r="V163" s="65"/>
      <c r="W163" s="65"/>
      <c r="X163" s="65"/>
      <c r="Y163" s="65"/>
      <c r="Z163" s="65"/>
    </row>
    <row r="164" spans="1:26" ht="12.75" customHeight="1">
      <c r="A164" s="64" t="s">
        <v>953</v>
      </c>
      <c r="B164" s="65" t="s">
        <v>707</v>
      </c>
      <c r="C164" s="65" t="s">
        <v>708</v>
      </c>
      <c r="D164" s="65" t="s">
        <v>954</v>
      </c>
      <c r="E164" s="65" t="s">
        <v>1005</v>
      </c>
      <c r="F164" s="65"/>
      <c r="G164" s="65"/>
      <c r="H164" s="65"/>
      <c r="I164" s="65" t="s">
        <v>1006</v>
      </c>
      <c r="J164" s="65" t="s">
        <v>125</v>
      </c>
      <c r="K164" s="65"/>
      <c r="L164" s="65"/>
      <c r="M164" s="65"/>
      <c r="N164" s="65"/>
      <c r="O164" s="65"/>
      <c r="P164" s="65"/>
      <c r="Q164" s="65"/>
      <c r="R164" s="65"/>
      <c r="S164" s="65"/>
      <c r="T164" s="65"/>
      <c r="U164" s="65"/>
      <c r="V164" s="65"/>
      <c r="W164" s="65"/>
      <c r="X164" s="65"/>
      <c r="Y164" s="65"/>
      <c r="Z164" s="65"/>
    </row>
    <row r="165" spans="1:26" ht="12.75" customHeight="1">
      <c r="A165" s="64" t="s">
        <v>953</v>
      </c>
      <c r="B165" s="65" t="s">
        <v>707</v>
      </c>
      <c r="C165" s="65" t="s">
        <v>708</v>
      </c>
      <c r="D165" s="65" t="s">
        <v>954</v>
      </c>
      <c r="E165" s="65" t="s">
        <v>1007</v>
      </c>
      <c r="F165" s="65"/>
      <c r="G165" s="65"/>
      <c r="H165" s="65"/>
      <c r="I165" s="65" t="s">
        <v>1008</v>
      </c>
      <c r="J165" s="65" t="s">
        <v>125</v>
      </c>
      <c r="K165" s="65"/>
      <c r="L165" s="65"/>
      <c r="M165" s="65"/>
      <c r="N165" s="65"/>
      <c r="O165" s="65"/>
      <c r="P165" s="65"/>
      <c r="Q165" s="65"/>
      <c r="R165" s="65"/>
      <c r="S165" s="65"/>
      <c r="T165" s="65"/>
      <c r="U165" s="65"/>
      <c r="V165" s="65"/>
      <c r="W165" s="65"/>
      <c r="X165" s="65"/>
      <c r="Y165" s="65"/>
      <c r="Z165" s="65"/>
    </row>
    <row r="166" spans="1:26" ht="12.75" customHeight="1">
      <c r="A166" s="64" t="s">
        <v>953</v>
      </c>
      <c r="B166" s="65" t="s">
        <v>707</v>
      </c>
      <c r="C166" s="65" t="s">
        <v>708</v>
      </c>
      <c r="D166" s="65" t="s">
        <v>954</v>
      </c>
      <c r="E166" s="65" t="s">
        <v>1009</v>
      </c>
      <c r="F166" s="65"/>
      <c r="G166" s="65"/>
      <c r="H166" s="65"/>
      <c r="I166" s="65" t="s">
        <v>1010</v>
      </c>
      <c r="J166" s="65" t="s">
        <v>125</v>
      </c>
      <c r="K166" s="65"/>
      <c r="L166" s="65"/>
      <c r="M166" s="65"/>
      <c r="N166" s="65"/>
      <c r="O166" s="65"/>
      <c r="P166" s="65"/>
      <c r="Q166" s="65"/>
      <c r="R166" s="65"/>
      <c r="S166" s="65"/>
      <c r="T166" s="65"/>
      <c r="U166" s="65"/>
      <c r="V166" s="65"/>
      <c r="W166" s="65"/>
      <c r="X166" s="65"/>
      <c r="Y166" s="65"/>
      <c r="Z166" s="65"/>
    </row>
    <row r="167" spans="1:26" ht="12.75" customHeight="1">
      <c r="A167" s="64" t="s">
        <v>953</v>
      </c>
      <c r="B167" s="65" t="s">
        <v>707</v>
      </c>
      <c r="C167" s="65" t="s">
        <v>708</v>
      </c>
      <c r="D167" s="65" t="s">
        <v>954</v>
      </c>
      <c r="E167" s="65" t="s">
        <v>1011</v>
      </c>
      <c r="F167" s="65"/>
      <c r="G167" s="65"/>
      <c r="H167" s="65"/>
      <c r="I167" s="65" t="s">
        <v>1012</v>
      </c>
      <c r="J167" s="65" t="s">
        <v>125</v>
      </c>
      <c r="K167" s="65"/>
      <c r="L167" s="65"/>
      <c r="M167" s="65"/>
      <c r="N167" s="65"/>
      <c r="O167" s="65"/>
      <c r="P167" s="65"/>
      <c r="Q167" s="65"/>
      <c r="R167" s="65"/>
      <c r="S167" s="65"/>
      <c r="T167" s="65"/>
      <c r="U167" s="65"/>
      <c r="V167" s="65"/>
      <c r="W167" s="65"/>
      <c r="X167" s="65"/>
      <c r="Y167" s="65"/>
      <c r="Z167" s="65"/>
    </row>
    <row r="168" spans="1:26" ht="12.75" customHeight="1">
      <c r="A168" s="64" t="s">
        <v>953</v>
      </c>
      <c r="B168" s="65" t="s">
        <v>707</v>
      </c>
      <c r="C168" s="65" t="s">
        <v>708</v>
      </c>
      <c r="D168" s="65" t="s">
        <v>954</v>
      </c>
      <c r="E168" s="65" t="s">
        <v>1013</v>
      </c>
      <c r="F168" s="65"/>
      <c r="G168" s="65" t="s">
        <v>1014</v>
      </c>
      <c r="H168" s="65" t="s">
        <v>745</v>
      </c>
      <c r="I168" s="65" t="s">
        <v>1015</v>
      </c>
      <c r="J168" s="65" t="s">
        <v>125</v>
      </c>
      <c r="K168" s="65"/>
      <c r="L168" s="65"/>
      <c r="M168" s="65"/>
      <c r="N168" s="65"/>
      <c r="O168" s="65"/>
      <c r="P168" s="65"/>
      <c r="Q168" s="65"/>
      <c r="R168" s="65"/>
      <c r="S168" s="65"/>
      <c r="T168" s="65"/>
      <c r="U168" s="65"/>
      <c r="V168" s="65"/>
      <c r="W168" s="65"/>
      <c r="X168" s="65"/>
      <c r="Y168" s="65"/>
      <c r="Z168" s="65"/>
    </row>
    <row r="169" spans="1:26" ht="12.75" customHeight="1">
      <c r="A169" s="64" t="s">
        <v>953</v>
      </c>
      <c r="B169" s="65" t="s">
        <v>707</v>
      </c>
      <c r="C169" s="65" t="s">
        <v>708</v>
      </c>
      <c r="D169" s="65" t="s">
        <v>954</v>
      </c>
      <c r="E169" s="65" t="s">
        <v>1016</v>
      </c>
      <c r="F169" s="65"/>
      <c r="G169" s="65"/>
      <c r="H169" s="65"/>
      <c r="I169" s="65" t="s">
        <v>1017</v>
      </c>
      <c r="J169" s="65" t="s">
        <v>125</v>
      </c>
      <c r="K169" s="65"/>
      <c r="L169" s="65"/>
      <c r="M169" s="65"/>
      <c r="N169" s="65"/>
      <c r="O169" s="65"/>
      <c r="P169" s="65"/>
      <c r="Q169" s="65"/>
      <c r="R169" s="65"/>
      <c r="S169" s="65"/>
      <c r="T169" s="65"/>
      <c r="U169" s="65"/>
      <c r="V169" s="65"/>
      <c r="W169" s="65"/>
      <c r="X169" s="65"/>
      <c r="Y169" s="65"/>
      <c r="Z169" s="65"/>
    </row>
    <row r="170" spans="1:26" ht="12.75" customHeight="1">
      <c r="A170" s="64" t="s">
        <v>953</v>
      </c>
      <c r="B170" s="65" t="s">
        <v>707</v>
      </c>
      <c r="C170" s="65" t="s">
        <v>708</v>
      </c>
      <c r="D170" s="65" t="s">
        <v>954</v>
      </c>
      <c r="E170" s="65" t="s">
        <v>1018</v>
      </c>
      <c r="F170" s="65"/>
      <c r="G170" s="65"/>
      <c r="H170" s="65"/>
      <c r="I170" s="65" t="s">
        <v>1019</v>
      </c>
      <c r="J170" s="65" t="s">
        <v>125</v>
      </c>
      <c r="K170" s="65"/>
      <c r="L170" s="65"/>
      <c r="M170" s="65"/>
      <c r="N170" s="65"/>
      <c r="O170" s="65"/>
      <c r="P170" s="65"/>
      <c r="Q170" s="65"/>
      <c r="R170" s="65"/>
      <c r="S170" s="65"/>
      <c r="T170" s="65"/>
      <c r="U170" s="65"/>
      <c r="V170" s="65"/>
      <c r="W170" s="65"/>
      <c r="X170" s="65"/>
      <c r="Y170" s="65"/>
      <c r="Z170" s="65"/>
    </row>
    <row r="171" spans="1:26" ht="12.75" customHeight="1">
      <c r="A171" s="64" t="s">
        <v>953</v>
      </c>
      <c r="B171" s="65" t="s">
        <v>707</v>
      </c>
      <c r="C171" s="65" t="s">
        <v>773</v>
      </c>
      <c r="D171" s="65" t="s">
        <v>954</v>
      </c>
      <c r="E171" s="65" t="s">
        <v>955</v>
      </c>
      <c r="F171" s="65"/>
      <c r="G171" s="65"/>
      <c r="H171" s="65"/>
      <c r="I171" s="65" t="s">
        <v>1020</v>
      </c>
      <c r="J171" s="65" t="s">
        <v>125</v>
      </c>
      <c r="K171" s="65"/>
      <c r="L171" s="65"/>
      <c r="M171" s="65"/>
      <c r="N171" s="65"/>
      <c r="O171" s="65"/>
      <c r="P171" s="65"/>
      <c r="Q171" s="65"/>
      <c r="R171" s="65"/>
      <c r="S171" s="65"/>
      <c r="T171" s="65"/>
      <c r="U171" s="65"/>
      <c r="V171" s="65"/>
      <c r="W171" s="65"/>
      <c r="X171" s="65"/>
      <c r="Y171" s="65"/>
      <c r="Z171" s="65"/>
    </row>
    <row r="172" spans="1:26" ht="12.75" customHeight="1">
      <c r="A172" s="64" t="s">
        <v>953</v>
      </c>
      <c r="B172" s="65" t="s">
        <v>707</v>
      </c>
      <c r="C172" s="65" t="s">
        <v>773</v>
      </c>
      <c r="D172" s="65" t="s">
        <v>954</v>
      </c>
      <c r="E172" s="65" t="s">
        <v>957</v>
      </c>
      <c r="F172" s="65"/>
      <c r="G172" s="65"/>
      <c r="H172" s="65"/>
      <c r="I172" s="65" t="s">
        <v>1021</v>
      </c>
      <c r="J172" s="65" t="s">
        <v>125</v>
      </c>
      <c r="K172" s="65"/>
      <c r="L172" s="65"/>
      <c r="M172" s="65"/>
      <c r="N172" s="65"/>
      <c r="O172" s="65"/>
      <c r="P172" s="65"/>
      <c r="Q172" s="65"/>
      <c r="R172" s="65"/>
      <c r="S172" s="65"/>
      <c r="T172" s="65"/>
      <c r="U172" s="65"/>
      <c r="V172" s="65"/>
      <c r="W172" s="65"/>
      <c r="X172" s="65"/>
      <c r="Y172" s="65"/>
      <c r="Z172" s="65"/>
    </row>
    <row r="173" spans="1:26" ht="12.75" customHeight="1">
      <c r="A173" s="64" t="s">
        <v>953</v>
      </c>
      <c r="B173" s="65" t="s">
        <v>707</v>
      </c>
      <c r="C173" s="65" t="s">
        <v>773</v>
      </c>
      <c r="D173" s="65" t="s">
        <v>954</v>
      </c>
      <c r="E173" s="65" t="s">
        <v>959</v>
      </c>
      <c r="F173" s="65"/>
      <c r="G173" s="65"/>
      <c r="H173" s="65"/>
      <c r="I173" s="65" t="s">
        <v>1022</v>
      </c>
      <c r="J173" s="65" t="s">
        <v>125</v>
      </c>
      <c r="K173" s="65"/>
      <c r="L173" s="65"/>
      <c r="M173" s="65"/>
      <c r="N173" s="65"/>
      <c r="O173" s="65"/>
      <c r="P173" s="65"/>
      <c r="Q173" s="65"/>
      <c r="R173" s="65"/>
      <c r="S173" s="65"/>
      <c r="T173" s="65"/>
      <c r="U173" s="65"/>
      <c r="V173" s="65"/>
      <c r="W173" s="65"/>
      <c r="X173" s="65"/>
      <c r="Y173" s="65"/>
      <c r="Z173" s="65"/>
    </row>
    <row r="174" spans="1:26" ht="12.75" customHeight="1">
      <c r="A174" s="64" t="s">
        <v>953</v>
      </c>
      <c r="B174" s="65" t="s">
        <v>707</v>
      </c>
      <c r="C174" s="65" t="s">
        <v>773</v>
      </c>
      <c r="D174" s="65" t="s">
        <v>954</v>
      </c>
      <c r="E174" s="65" t="s">
        <v>961</v>
      </c>
      <c r="F174" s="65"/>
      <c r="G174" s="65"/>
      <c r="H174" s="65"/>
      <c r="I174" s="65" t="s">
        <v>1023</v>
      </c>
      <c r="J174" s="65" t="s">
        <v>125</v>
      </c>
      <c r="K174" s="65"/>
      <c r="L174" s="65"/>
      <c r="M174" s="65"/>
      <c r="N174" s="65"/>
      <c r="O174" s="65"/>
      <c r="P174" s="65"/>
      <c r="Q174" s="65"/>
      <c r="R174" s="65"/>
      <c r="S174" s="65"/>
      <c r="T174" s="65"/>
      <c r="U174" s="65"/>
      <c r="V174" s="65"/>
      <c r="W174" s="65"/>
      <c r="X174" s="65"/>
      <c r="Y174" s="65"/>
      <c r="Z174" s="65"/>
    </row>
    <row r="175" spans="1:26" ht="12.75" customHeight="1">
      <c r="A175" s="64" t="s">
        <v>953</v>
      </c>
      <c r="B175" s="65" t="s">
        <v>707</v>
      </c>
      <c r="C175" s="65" t="s">
        <v>773</v>
      </c>
      <c r="D175" s="65" t="s">
        <v>954</v>
      </c>
      <c r="E175" s="65" t="s">
        <v>963</v>
      </c>
      <c r="F175" s="65"/>
      <c r="G175" s="65"/>
      <c r="H175" s="65"/>
      <c r="I175" s="65" t="s">
        <v>1024</v>
      </c>
      <c r="J175" s="65" t="s">
        <v>125</v>
      </c>
      <c r="K175" s="65"/>
      <c r="L175" s="65"/>
      <c r="M175" s="65"/>
      <c r="N175" s="65"/>
      <c r="O175" s="65"/>
      <c r="P175" s="65"/>
      <c r="Q175" s="65"/>
      <c r="R175" s="65"/>
      <c r="S175" s="65"/>
      <c r="T175" s="65"/>
      <c r="U175" s="65"/>
      <c r="V175" s="65"/>
      <c r="W175" s="65"/>
      <c r="X175" s="65"/>
      <c r="Y175" s="65"/>
      <c r="Z175" s="65"/>
    </row>
    <row r="176" spans="1:26" ht="12.75" customHeight="1">
      <c r="A176" s="64" t="s">
        <v>953</v>
      </c>
      <c r="B176" s="65" t="s">
        <v>707</v>
      </c>
      <c r="C176" s="65" t="s">
        <v>773</v>
      </c>
      <c r="D176" s="65" t="s">
        <v>954</v>
      </c>
      <c r="E176" s="65" t="s">
        <v>965</v>
      </c>
      <c r="F176" s="65"/>
      <c r="G176" s="65"/>
      <c r="H176" s="65"/>
      <c r="I176" s="65" t="s">
        <v>1025</v>
      </c>
      <c r="J176" s="65" t="s">
        <v>125</v>
      </c>
      <c r="K176" s="65"/>
      <c r="L176" s="65"/>
      <c r="M176" s="65"/>
      <c r="N176" s="65"/>
      <c r="O176" s="65"/>
      <c r="P176" s="65"/>
      <c r="Q176" s="65"/>
      <c r="R176" s="65"/>
      <c r="S176" s="65"/>
      <c r="T176" s="65"/>
      <c r="U176" s="65"/>
      <c r="V176" s="65"/>
      <c r="W176" s="65"/>
      <c r="X176" s="65"/>
      <c r="Y176" s="65"/>
      <c r="Z176" s="65"/>
    </row>
    <row r="177" spans="1:26" ht="12.75" customHeight="1">
      <c r="A177" s="64" t="s">
        <v>953</v>
      </c>
      <c r="B177" s="65" t="s">
        <v>707</v>
      </c>
      <c r="C177" s="65" t="s">
        <v>773</v>
      </c>
      <c r="D177" s="65" t="s">
        <v>954</v>
      </c>
      <c r="E177" s="65" t="s">
        <v>967</v>
      </c>
      <c r="F177" s="65"/>
      <c r="G177" s="65"/>
      <c r="H177" s="65"/>
      <c r="I177" s="65" t="s">
        <v>1026</v>
      </c>
      <c r="J177" s="65" t="s">
        <v>125</v>
      </c>
      <c r="K177" s="65"/>
      <c r="L177" s="65"/>
      <c r="M177" s="65"/>
      <c r="N177" s="65"/>
      <c r="O177" s="65"/>
      <c r="P177" s="65"/>
      <c r="Q177" s="65"/>
      <c r="R177" s="65"/>
      <c r="S177" s="65"/>
      <c r="T177" s="65"/>
      <c r="U177" s="65"/>
      <c r="V177" s="65"/>
      <c r="W177" s="65"/>
      <c r="X177" s="65"/>
      <c r="Y177" s="65"/>
      <c r="Z177" s="65"/>
    </row>
    <row r="178" spans="1:26" ht="12.75" customHeight="1">
      <c r="A178" s="64" t="s">
        <v>953</v>
      </c>
      <c r="B178" s="65" t="s">
        <v>707</v>
      </c>
      <c r="C178" s="65" t="s">
        <v>773</v>
      </c>
      <c r="D178" s="65" t="s">
        <v>954</v>
      </c>
      <c r="E178" s="65" t="s">
        <v>969</v>
      </c>
      <c r="F178" s="65"/>
      <c r="G178" s="65"/>
      <c r="H178" s="65"/>
      <c r="I178" s="65" t="s">
        <v>1027</v>
      </c>
      <c r="J178" s="65" t="s">
        <v>125</v>
      </c>
      <c r="K178" s="65"/>
      <c r="L178" s="65"/>
      <c r="M178" s="65"/>
      <c r="N178" s="65"/>
      <c r="O178" s="65"/>
      <c r="P178" s="65"/>
      <c r="Q178" s="65"/>
      <c r="R178" s="65"/>
      <c r="S178" s="65"/>
      <c r="T178" s="65"/>
      <c r="U178" s="65"/>
      <c r="V178" s="65"/>
      <c r="W178" s="65"/>
      <c r="X178" s="65"/>
      <c r="Y178" s="65"/>
      <c r="Z178" s="65"/>
    </row>
    <row r="179" spans="1:26" ht="12.75" customHeight="1">
      <c r="A179" s="64" t="s">
        <v>953</v>
      </c>
      <c r="B179" s="65" t="s">
        <v>707</v>
      </c>
      <c r="C179" s="65" t="s">
        <v>773</v>
      </c>
      <c r="D179" s="65" t="s">
        <v>954</v>
      </c>
      <c r="E179" s="65" t="s">
        <v>971</v>
      </c>
      <c r="F179" s="65"/>
      <c r="G179" s="65"/>
      <c r="H179" s="65"/>
      <c r="I179" s="65" t="s">
        <v>1028</v>
      </c>
      <c r="J179" s="65" t="s">
        <v>125</v>
      </c>
      <c r="K179" s="65"/>
      <c r="L179" s="65"/>
      <c r="M179" s="65"/>
      <c r="N179" s="65"/>
      <c r="O179" s="65"/>
      <c r="P179" s="65"/>
      <c r="Q179" s="65"/>
      <c r="R179" s="65"/>
      <c r="S179" s="65"/>
      <c r="T179" s="65"/>
      <c r="U179" s="65"/>
      <c r="V179" s="65"/>
      <c r="W179" s="65"/>
      <c r="X179" s="65"/>
      <c r="Y179" s="65"/>
      <c r="Z179" s="65"/>
    </row>
    <row r="180" spans="1:26" ht="12.75" customHeight="1">
      <c r="A180" s="64" t="s">
        <v>953</v>
      </c>
      <c r="B180" s="65" t="s">
        <v>707</v>
      </c>
      <c r="C180" s="65" t="s">
        <v>773</v>
      </c>
      <c r="D180" s="65" t="s">
        <v>954</v>
      </c>
      <c r="E180" s="65" t="s">
        <v>973</v>
      </c>
      <c r="F180" s="65"/>
      <c r="G180" s="65"/>
      <c r="H180" s="65"/>
      <c r="I180" s="65" t="s">
        <v>1029</v>
      </c>
      <c r="J180" s="65" t="s">
        <v>125</v>
      </c>
      <c r="K180" s="65"/>
      <c r="L180" s="65"/>
      <c r="M180" s="65"/>
      <c r="N180" s="65"/>
      <c r="O180" s="65"/>
      <c r="P180" s="65"/>
      <c r="Q180" s="65"/>
      <c r="R180" s="65"/>
      <c r="S180" s="65"/>
      <c r="T180" s="65"/>
      <c r="U180" s="65"/>
      <c r="V180" s="65"/>
      <c r="W180" s="65"/>
      <c r="X180" s="65"/>
      <c r="Y180" s="65"/>
      <c r="Z180" s="65"/>
    </row>
    <row r="181" spans="1:26" ht="12.75" customHeight="1">
      <c r="A181" s="64" t="s">
        <v>953</v>
      </c>
      <c r="B181" s="65" t="s">
        <v>707</v>
      </c>
      <c r="C181" s="65" t="s">
        <v>773</v>
      </c>
      <c r="D181" s="65" t="s">
        <v>954</v>
      </c>
      <c r="E181" s="65" t="s">
        <v>975</v>
      </c>
      <c r="F181" s="65"/>
      <c r="G181" s="65"/>
      <c r="H181" s="65"/>
      <c r="I181" s="65" t="s">
        <v>1030</v>
      </c>
      <c r="J181" s="65" t="s">
        <v>125</v>
      </c>
      <c r="K181" s="65"/>
      <c r="L181" s="65"/>
      <c r="M181" s="65"/>
      <c r="N181" s="65"/>
      <c r="O181" s="65"/>
      <c r="P181" s="65"/>
      <c r="Q181" s="65"/>
      <c r="R181" s="65"/>
      <c r="S181" s="65"/>
      <c r="T181" s="65"/>
      <c r="U181" s="65"/>
      <c r="V181" s="65"/>
      <c r="W181" s="65"/>
      <c r="X181" s="65"/>
      <c r="Y181" s="65"/>
      <c r="Z181" s="65"/>
    </row>
    <row r="182" spans="1:26" ht="12.75" customHeight="1">
      <c r="A182" s="64" t="s">
        <v>953</v>
      </c>
      <c r="B182" s="65" t="s">
        <v>707</v>
      </c>
      <c r="C182" s="65" t="s">
        <v>773</v>
      </c>
      <c r="D182" s="65" t="s">
        <v>954</v>
      </c>
      <c r="E182" s="65" t="s">
        <v>977</v>
      </c>
      <c r="F182" s="65"/>
      <c r="G182" s="65"/>
      <c r="H182" s="65"/>
      <c r="I182" s="65" t="s">
        <v>1031</v>
      </c>
      <c r="J182" s="65" t="s">
        <v>125</v>
      </c>
      <c r="K182" s="65"/>
      <c r="L182" s="65"/>
      <c r="M182" s="65"/>
      <c r="N182" s="65"/>
      <c r="O182" s="65"/>
      <c r="P182" s="65"/>
      <c r="Q182" s="65"/>
      <c r="R182" s="65"/>
      <c r="S182" s="65"/>
      <c r="T182" s="65"/>
      <c r="U182" s="65"/>
      <c r="V182" s="65"/>
      <c r="W182" s="65"/>
      <c r="X182" s="65"/>
      <c r="Y182" s="65"/>
      <c r="Z182" s="65"/>
    </row>
    <row r="183" spans="1:26" ht="12.75" customHeight="1">
      <c r="A183" s="64" t="s">
        <v>953</v>
      </c>
      <c r="B183" s="65" t="s">
        <v>707</v>
      </c>
      <c r="C183" s="65" t="s">
        <v>773</v>
      </c>
      <c r="D183" s="65" t="s">
        <v>954</v>
      </c>
      <c r="E183" s="65" t="s">
        <v>979</v>
      </c>
      <c r="F183" s="65"/>
      <c r="G183" s="65"/>
      <c r="H183" s="65"/>
      <c r="I183" s="65" t="s">
        <v>1032</v>
      </c>
      <c r="J183" s="65" t="s">
        <v>125</v>
      </c>
      <c r="K183" s="65"/>
      <c r="L183" s="65"/>
      <c r="M183" s="65"/>
      <c r="N183" s="65"/>
      <c r="O183" s="65"/>
      <c r="P183" s="65"/>
      <c r="Q183" s="65"/>
      <c r="R183" s="65"/>
      <c r="S183" s="65"/>
      <c r="T183" s="65"/>
      <c r="U183" s="65"/>
      <c r="V183" s="65"/>
      <c r="W183" s="65"/>
      <c r="X183" s="65"/>
      <c r="Y183" s="65"/>
      <c r="Z183" s="65"/>
    </row>
    <row r="184" spans="1:26" ht="12.75" customHeight="1">
      <c r="A184" s="64" t="s">
        <v>953</v>
      </c>
      <c r="B184" s="65" t="s">
        <v>707</v>
      </c>
      <c r="C184" s="65" t="s">
        <v>773</v>
      </c>
      <c r="D184" s="65" t="s">
        <v>954</v>
      </c>
      <c r="E184" s="65" t="s">
        <v>981</v>
      </c>
      <c r="F184" s="65"/>
      <c r="G184" s="65"/>
      <c r="H184" s="65"/>
      <c r="I184" s="65" t="s">
        <v>1033</v>
      </c>
      <c r="J184" s="65" t="s">
        <v>125</v>
      </c>
      <c r="K184" s="65"/>
      <c r="L184" s="65"/>
      <c r="M184" s="65"/>
      <c r="N184" s="65"/>
      <c r="O184" s="65"/>
      <c r="P184" s="65"/>
      <c r="Q184" s="65"/>
      <c r="R184" s="65"/>
      <c r="S184" s="65"/>
      <c r="T184" s="65"/>
      <c r="U184" s="65"/>
      <c r="V184" s="65"/>
      <c r="W184" s="65"/>
      <c r="X184" s="65"/>
      <c r="Y184" s="65"/>
      <c r="Z184" s="65"/>
    </row>
    <row r="185" spans="1:26" ht="12.75" customHeight="1">
      <c r="A185" s="64" t="s">
        <v>953</v>
      </c>
      <c r="B185" s="65" t="s">
        <v>707</v>
      </c>
      <c r="C185" s="65" t="s">
        <v>773</v>
      </c>
      <c r="D185" s="65" t="s">
        <v>954</v>
      </c>
      <c r="E185" s="65" t="s">
        <v>983</v>
      </c>
      <c r="F185" s="65"/>
      <c r="G185" s="65"/>
      <c r="H185" s="65"/>
      <c r="I185" s="65" t="s">
        <v>1034</v>
      </c>
      <c r="J185" s="65" t="s">
        <v>125</v>
      </c>
      <c r="K185" s="65"/>
      <c r="L185" s="65"/>
      <c r="M185" s="65"/>
      <c r="N185" s="65"/>
      <c r="O185" s="65"/>
      <c r="P185" s="65"/>
      <c r="Q185" s="65"/>
      <c r="R185" s="65"/>
      <c r="S185" s="65"/>
      <c r="T185" s="65"/>
      <c r="U185" s="65"/>
      <c r="V185" s="65"/>
      <c r="W185" s="65"/>
      <c r="X185" s="65"/>
      <c r="Y185" s="65"/>
      <c r="Z185" s="65"/>
    </row>
    <row r="186" spans="1:26" ht="12.75" customHeight="1">
      <c r="A186" s="64" t="s">
        <v>953</v>
      </c>
      <c r="B186" s="65" t="s">
        <v>707</v>
      </c>
      <c r="C186" s="65" t="s">
        <v>773</v>
      </c>
      <c r="D186" s="65" t="s">
        <v>954</v>
      </c>
      <c r="E186" s="65" t="s">
        <v>985</v>
      </c>
      <c r="F186" s="65"/>
      <c r="G186" s="65"/>
      <c r="H186" s="65"/>
      <c r="I186" s="65" t="s">
        <v>1035</v>
      </c>
      <c r="J186" s="65" t="s">
        <v>125</v>
      </c>
      <c r="K186" s="65"/>
      <c r="L186" s="65"/>
      <c r="M186" s="65"/>
      <c r="N186" s="65"/>
      <c r="O186" s="65"/>
      <c r="P186" s="65"/>
      <c r="Q186" s="65"/>
      <c r="R186" s="65"/>
      <c r="S186" s="65"/>
      <c r="T186" s="65"/>
      <c r="U186" s="65"/>
      <c r="V186" s="65"/>
      <c r="W186" s="65"/>
      <c r="X186" s="65"/>
      <c r="Y186" s="65"/>
      <c r="Z186" s="65"/>
    </row>
    <row r="187" spans="1:26" ht="12.75" customHeight="1">
      <c r="A187" s="64" t="s">
        <v>953</v>
      </c>
      <c r="B187" s="65" t="s">
        <v>707</v>
      </c>
      <c r="C187" s="65" t="s">
        <v>773</v>
      </c>
      <c r="D187" s="65" t="s">
        <v>954</v>
      </c>
      <c r="E187" s="65" t="s">
        <v>987</v>
      </c>
      <c r="F187" s="65"/>
      <c r="G187" s="65"/>
      <c r="H187" s="65"/>
      <c r="I187" s="65" t="s">
        <v>1036</v>
      </c>
      <c r="J187" s="65" t="s">
        <v>125</v>
      </c>
      <c r="K187" s="65"/>
      <c r="L187" s="65"/>
      <c r="M187" s="65"/>
      <c r="N187" s="65"/>
      <c r="O187" s="65"/>
      <c r="P187" s="65"/>
      <c r="Q187" s="65"/>
      <c r="R187" s="65"/>
      <c r="S187" s="65"/>
      <c r="T187" s="65"/>
      <c r="U187" s="65"/>
      <c r="V187" s="65"/>
      <c r="W187" s="65"/>
      <c r="X187" s="65"/>
      <c r="Y187" s="65"/>
      <c r="Z187" s="65"/>
    </row>
    <row r="188" spans="1:26" ht="12.75" customHeight="1">
      <c r="A188" s="64" t="s">
        <v>953</v>
      </c>
      <c r="B188" s="65" t="s">
        <v>707</v>
      </c>
      <c r="C188" s="65" t="s">
        <v>773</v>
      </c>
      <c r="D188" s="65" t="s">
        <v>954</v>
      </c>
      <c r="E188" s="65" t="s">
        <v>989</v>
      </c>
      <c r="F188" s="65"/>
      <c r="G188" s="65"/>
      <c r="H188" s="65"/>
      <c r="I188" s="65" t="s">
        <v>1037</v>
      </c>
      <c r="J188" s="65" t="s">
        <v>125</v>
      </c>
      <c r="K188" s="65"/>
      <c r="L188" s="65"/>
      <c r="M188" s="65"/>
      <c r="N188" s="65"/>
      <c r="O188" s="65"/>
      <c r="P188" s="65"/>
      <c r="Q188" s="65"/>
      <c r="R188" s="65"/>
      <c r="S188" s="65"/>
      <c r="T188" s="65"/>
      <c r="U188" s="65"/>
      <c r="V188" s="65"/>
      <c r="W188" s="65"/>
      <c r="X188" s="65"/>
      <c r="Y188" s="65"/>
      <c r="Z188" s="65"/>
    </row>
    <row r="189" spans="1:26" ht="12.75" customHeight="1">
      <c r="A189" s="64" t="s">
        <v>953</v>
      </c>
      <c r="B189" s="65" t="s">
        <v>707</v>
      </c>
      <c r="C189" s="65" t="s">
        <v>773</v>
      </c>
      <c r="D189" s="65" t="s">
        <v>954</v>
      </c>
      <c r="E189" s="65" t="s">
        <v>991</v>
      </c>
      <c r="F189" s="65"/>
      <c r="G189" s="65"/>
      <c r="H189" s="65"/>
      <c r="I189" s="65" t="s">
        <v>1038</v>
      </c>
      <c r="J189" s="65" t="s">
        <v>125</v>
      </c>
      <c r="K189" s="65"/>
      <c r="L189" s="65"/>
      <c r="M189" s="65"/>
      <c r="N189" s="65"/>
      <c r="O189" s="65"/>
      <c r="P189" s="65"/>
      <c r="Q189" s="65"/>
      <c r="R189" s="65"/>
      <c r="S189" s="65"/>
      <c r="T189" s="65"/>
      <c r="U189" s="65"/>
      <c r="V189" s="65"/>
      <c r="W189" s="65"/>
      <c r="X189" s="65"/>
      <c r="Y189" s="65"/>
      <c r="Z189" s="65"/>
    </row>
    <row r="190" spans="1:26" ht="12.75" customHeight="1">
      <c r="A190" s="64" t="s">
        <v>953</v>
      </c>
      <c r="B190" s="65" t="s">
        <v>707</v>
      </c>
      <c r="C190" s="65" t="s">
        <v>773</v>
      </c>
      <c r="D190" s="65" t="s">
        <v>954</v>
      </c>
      <c r="E190" s="65" t="s">
        <v>993</v>
      </c>
      <c r="F190" s="65"/>
      <c r="G190" s="65"/>
      <c r="H190" s="65"/>
      <c r="I190" s="65" t="s">
        <v>1039</v>
      </c>
      <c r="J190" s="65" t="s">
        <v>125</v>
      </c>
      <c r="K190" s="65"/>
      <c r="L190" s="65"/>
      <c r="M190" s="65"/>
      <c r="N190" s="65"/>
      <c r="O190" s="65"/>
      <c r="P190" s="65"/>
      <c r="Q190" s="65"/>
      <c r="R190" s="65"/>
      <c r="S190" s="65"/>
      <c r="T190" s="65"/>
      <c r="U190" s="65"/>
      <c r="V190" s="65"/>
      <c r="W190" s="65"/>
      <c r="X190" s="65"/>
      <c r="Y190" s="65"/>
      <c r="Z190" s="65"/>
    </row>
    <row r="191" spans="1:26" ht="12.75" customHeight="1">
      <c r="A191" s="64" t="s">
        <v>953</v>
      </c>
      <c r="B191" s="65" t="s">
        <v>707</v>
      </c>
      <c r="C191" s="65" t="s">
        <v>773</v>
      </c>
      <c r="D191" s="65" t="s">
        <v>954</v>
      </c>
      <c r="E191" s="65" t="s">
        <v>995</v>
      </c>
      <c r="F191" s="65"/>
      <c r="G191" s="65"/>
      <c r="H191" s="65"/>
      <c r="I191" s="65" t="s">
        <v>1040</v>
      </c>
      <c r="J191" s="65" t="s">
        <v>125</v>
      </c>
      <c r="K191" s="65"/>
      <c r="L191" s="65"/>
      <c r="M191" s="65"/>
      <c r="N191" s="65"/>
      <c r="O191" s="65"/>
      <c r="P191" s="65"/>
      <c r="Q191" s="65"/>
      <c r="R191" s="65"/>
      <c r="S191" s="65"/>
      <c r="T191" s="65"/>
      <c r="U191" s="65"/>
      <c r="V191" s="65"/>
      <c r="W191" s="65"/>
      <c r="X191" s="65"/>
      <c r="Y191" s="65"/>
      <c r="Z191" s="65"/>
    </row>
    <row r="192" spans="1:26" ht="12.75" customHeight="1">
      <c r="A192" s="64" t="s">
        <v>953</v>
      </c>
      <c r="B192" s="65" t="s">
        <v>707</v>
      </c>
      <c r="C192" s="65" t="s">
        <v>773</v>
      </c>
      <c r="D192" s="65" t="s">
        <v>954</v>
      </c>
      <c r="E192" s="65" t="s">
        <v>997</v>
      </c>
      <c r="F192" s="65"/>
      <c r="G192" s="65"/>
      <c r="H192" s="65"/>
      <c r="I192" s="65" t="s">
        <v>1041</v>
      </c>
      <c r="J192" s="65" t="s">
        <v>125</v>
      </c>
      <c r="K192" s="65"/>
      <c r="L192" s="65"/>
      <c r="M192" s="65"/>
      <c r="N192" s="65"/>
      <c r="O192" s="65"/>
      <c r="P192" s="65"/>
      <c r="Q192" s="65"/>
      <c r="R192" s="65"/>
      <c r="S192" s="65"/>
      <c r="T192" s="65"/>
      <c r="U192" s="65"/>
      <c r="V192" s="65"/>
      <c r="W192" s="65"/>
      <c r="X192" s="65"/>
      <c r="Y192" s="65"/>
      <c r="Z192" s="65"/>
    </row>
    <row r="193" spans="1:26" ht="12.75" customHeight="1">
      <c r="A193" s="64" t="s">
        <v>953</v>
      </c>
      <c r="B193" s="65" t="s">
        <v>707</v>
      </c>
      <c r="C193" s="65" t="s">
        <v>773</v>
      </c>
      <c r="D193" s="65" t="s">
        <v>954</v>
      </c>
      <c r="E193" s="65" t="s">
        <v>999</v>
      </c>
      <c r="F193" s="65"/>
      <c r="G193" s="65"/>
      <c r="H193" s="65"/>
      <c r="I193" s="65" t="s">
        <v>1042</v>
      </c>
      <c r="J193" s="65" t="s">
        <v>125</v>
      </c>
      <c r="K193" s="65"/>
      <c r="L193" s="65"/>
      <c r="M193" s="65"/>
      <c r="N193" s="65"/>
      <c r="O193" s="65"/>
      <c r="P193" s="65"/>
      <c r="Q193" s="65"/>
      <c r="R193" s="65"/>
      <c r="S193" s="65"/>
      <c r="T193" s="65"/>
      <c r="U193" s="65"/>
      <c r="V193" s="65"/>
      <c r="W193" s="65"/>
      <c r="X193" s="65"/>
      <c r="Y193" s="65"/>
      <c r="Z193" s="65"/>
    </row>
    <row r="194" spans="1:26" ht="12.75" customHeight="1">
      <c r="A194" s="64" t="s">
        <v>953</v>
      </c>
      <c r="B194" s="65" t="s">
        <v>707</v>
      </c>
      <c r="C194" s="65" t="s">
        <v>773</v>
      </c>
      <c r="D194" s="65" t="s">
        <v>954</v>
      </c>
      <c r="E194" s="65" t="s">
        <v>1001</v>
      </c>
      <c r="F194" s="65"/>
      <c r="G194" s="65"/>
      <c r="H194" s="65"/>
      <c r="I194" s="65" t="s">
        <v>1043</v>
      </c>
      <c r="J194" s="65" t="s">
        <v>125</v>
      </c>
      <c r="K194" s="65"/>
      <c r="L194" s="65"/>
      <c r="M194" s="65"/>
      <c r="N194" s="65"/>
      <c r="O194" s="65"/>
      <c r="P194" s="65"/>
      <c r="Q194" s="65"/>
      <c r="R194" s="65"/>
      <c r="S194" s="65"/>
      <c r="T194" s="65"/>
      <c r="U194" s="65"/>
      <c r="V194" s="65"/>
      <c r="W194" s="65"/>
      <c r="X194" s="65"/>
      <c r="Y194" s="65"/>
      <c r="Z194" s="65"/>
    </row>
    <row r="195" spans="1:26" ht="12.75" customHeight="1">
      <c r="A195" s="64" t="s">
        <v>953</v>
      </c>
      <c r="B195" s="65" t="s">
        <v>707</v>
      </c>
      <c r="C195" s="65" t="s">
        <v>773</v>
      </c>
      <c r="D195" s="65" t="s">
        <v>954</v>
      </c>
      <c r="E195" s="65" t="s">
        <v>1003</v>
      </c>
      <c r="F195" s="65"/>
      <c r="G195" s="65"/>
      <c r="H195" s="65"/>
      <c r="I195" s="65" t="s">
        <v>1044</v>
      </c>
      <c r="J195" s="65" t="s">
        <v>125</v>
      </c>
      <c r="K195" s="65"/>
      <c r="L195" s="65"/>
      <c r="M195" s="65"/>
      <c r="N195" s="65"/>
      <c r="O195" s="65"/>
      <c r="P195" s="65"/>
      <c r="Q195" s="65"/>
      <c r="R195" s="65"/>
      <c r="S195" s="65"/>
      <c r="T195" s="65"/>
      <c r="U195" s="65"/>
      <c r="V195" s="65"/>
      <c r="W195" s="65"/>
      <c r="X195" s="65"/>
      <c r="Y195" s="65"/>
      <c r="Z195" s="65"/>
    </row>
    <row r="196" spans="1:26" ht="12.75" customHeight="1">
      <c r="A196" s="64" t="s">
        <v>953</v>
      </c>
      <c r="B196" s="65" t="s">
        <v>707</v>
      </c>
      <c r="C196" s="65" t="s">
        <v>773</v>
      </c>
      <c r="D196" s="65" t="s">
        <v>954</v>
      </c>
      <c r="E196" s="65" t="s">
        <v>1005</v>
      </c>
      <c r="F196" s="65"/>
      <c r="G196" s="65"/>
      <c r="H196" s="65"/>
      <c r="I196" s="65" t="s">
        <v>1045</v>
      </c>
      <c r="J196" s="65" t="s">
        <v>125</v>
      </c>
      <c r="K196" s="65"/>
      <c r="L196" s="65"/>
      <c r="M196" s="65"/>
      <c r="N196" s="65"/>
      <c r="O196" s="65"/>
      <c r="P196" s="65"/>
      <c r="Q196" s="65"/>
      <c r="R196" s="65"/>
      <c r="S196" s="65"/>
      <c r="T196" s="65"/>
      <c r="U196" s="65"/>
      <c r="V196" s="65"/>
      <c r="W196" s="65"/>
      <c r="X196" s="65"/>
      <c r="Y196" s="65"/>
      <c r="Z196" s="65"/>
    </row>
    <row r="197" spans="1:26" ht="12.75" customHeight="1">
      <c r="A197" s="64" t="s">
        <v>953</v>
      </c>
      <c r="B197" s="65" t="s">
        <v>707</v>
      </c>
      <c r="C197" s="65" t="s">
        <v>773</v>
      </c>
      <c r="D197" s="65" t="s">
        <v>954</v>
      </c>
      <c r="E197" s="65" t="s">
        <v>1007</v>
      </c>
      <c r="F197" s="65"/>
      <c r="G197" s="65"/>
      <c r="H197" s="65"/>
      <c r="I197" s="65" t="s">
        <v>1046</v>
      </c>
      <c r="J197" s="65" t="s">
        <v>125</v>
      </c>
      <c r="K197" s="65"/>
      <c r="L197" s="65"/>
      <c r="M197" s="65"/>
      <c r="N197" s="65"/>
      <c r="O197" s="65"/>
      <c r="P197" s="65"/>
      <c r="Q197" s="65"/>
      <c r="R197" s="65"/>
      <c r="S197" s="65"/>
      <c r="T197" s="65"/>
      <c r="U197" s="65"/>
      <c r="V197" s="65"/>
      <c r="W197" s="65"/>
      <c r="X197" s="65"/>
      <c r="Y197" s="65"/>
      <c r="Z197" s="65"/>
    </row>
    <row r="198" spans="1:26" ht="12.75" customHeight="1">
      <c r="A198" s="64" t="s">
        <v>953</v>
      </c>
      <c r="B198" s="65" t="s">
        <v>707</v>
      </c>
      <c r="C198" s="65" t="s">
        <v>773</v>
      </c>
      <c r="D198" s="65" t="s">
        <v>954</v>
      </c>
      <c r="E198" s="65" t="s">
        <v>1009</v>
      </c>
      <c r="F198" s="65"/>
      <c r="G198" s="65"/>
      <c r="H198" s="65"/>
      <c r="I198" s="65" t="s">
        <v>1047</v>
      </c>
      <c r="J198" s="65" t="s">
        <v>125</v>
      </c>
      <c r="K198" s="65"/>
      <c r="L198" s="65"/>
      <c r="M198" s="65"/>
      <c r="N198" s="65"/>
      <c r="O198" s="65"/>
      <c r="P198" s="65"/>
      <c r="Q198" s="65"/>
      <c r="R198" s="65"/>
      <c r="S198" s="65"/>
      <c r="T198" s="65"/>
      <c r="U198" s="65"/>
      <c r="V198" s="65"/>
      <c r="W198" s="65"/>
      <c r="X198" s="65"/>
      <c r="Y198" s="65"/>
      <c r="Z198" s="65"/>
    </row>
    <row r="199" spans="1:26" ht="12.75" customHeight="1">
      <c r="A199" s="64" t="s">
        <v>953</v>
      </c>
      <c r="B199" s="65" t="s">
        <v>707</v>
      </c>
      <c r="C199" s="65" t="s">
        <v>773</v>
      </c>
      <c r="D199" s="65" t="s">
        <v>954</v>
      </c>
      <c r="E199" s="65" t="s">
        <v>1011</v>
      </c>
      <c r="F199" s="65"/>
      <c r="G199" s="65"/>
      <c r="H199" s="65"/>
      <c r="I199" s="65" t="s">
        <v>1048</v>
      </c>
      <c r="J199" s="65" t="s">
        <v>125</v>
      </c>
      <c r="K199" s="65"/>
      <c r="L199" s="65"/>
      <c r="M199" s="65"/>
      <c r="N199" s="65"/>
      <c r="O199" s="65"/>
      <c r="P199" s="65"/>
      <c r="Q199" s="65"/>
      <c r="R199" s="65"/>
      <c r="S199" s="65"/>
      <c r="T199" s="65"/>
      <c r="U199" s="65"/>
      <c r="V199" s="65"/>
      <c r="W199" s="65"/>
      <c r="X199" s="65"/>
      <c r="Y199" s="65"/>
      <c r="Z199" s="65"/>
    </row>
    <row r="200" spans="1:26" ht="12.75" customHeight="1">
      <c r="A200" s="64" t="s">
        <v>953</v>
      </c>
      <c r="B200" s="65" t="s">
        <v>707</v>
      </c>
      <c r="C200" s="65" t="s">
        <v>773</v>
      </c>
      <c r="D200" s="65" t="s">
        <v>954</v>
      </c>
      <c r="E200" s="65" t="s">
        <v>1016</v>
      </c>
      <c r="F200" s="65"/>
      <c r="G200" s="65"/>
      <c r="H200" s="65"/>
      <c r="I200" s="65" t="s">
        <v>1049</v>
      </c>
      <c r="J200" s="65" t="s">
        <v>125</v>
      </c>
      <c r="K200" s="65"/>
      <c r="L200" s="65"/>
      <c r="M200" s="65"/>
      <c r="N200" s="65"/>
      <c r="O200" s="65"/>
      <c r="P200" s="65"/>
      <c r="Q200" s="65"/>
      <c r="R200" s="65"/>
      <c r="S200" s="65"/>
      <c r="T200" s="65"/>
      <c r="U200" s="65"/>
      <c r="V200" s="65"/>
      <c r="W200" s="65"/>
      <c r="X200" s="65"/>
      <c r="Y200" s="65"/>
      <c r="Z200" s="65"/>
    </row>
    <row r="201" spans="1:26" ht="12.75" customHeight="1">
      <c r="A201" s="64" t="s">
        <v>953</v>
      </c>
      <c r="B201" s="65" t="s">
        <v>707</v>
      </c>
      <c r="C201" s="65" t="s">
        <v>773</v>
      </c>
      <c r="D201" s="65" t="s">
        <v>954</v>
      </c>
      <c r="E201" s="65" t="s">
        <v>1018</v>
      </c>
      <c r="F201" s="65"/>
      <c r="G201" s="65"/>
      <c r="H201" s="65"/>
      <c r="I201" s="65" t="s">
        <v>1050</v>
      </c>
      <c r="J201" s="65" t="s">
        <v>125</v>
      </c>
      <c r="K201" s="65"/>
      <c r="L201" s="65"/>
      <c r="M201" s="65"/>
      <c r="N201" s="65"/>
      <c r="O201" s="65"/>
      <c r="P201" s="65"/>
      <c r="Q201" s="65"/>
      <c r="R201" s="65"/>
      <c r="S201" s="65"/>
      <c r="T201" s="65"/>
      <c r="U201" s="65"/>
      <c r="V201" s="65"/>
      <c r="W201" s="65"/>
      <c r="X201" s="65"/>
      <c r="Y201" s="65"/>
      <c r="Z201" s="65"/>
    </row>
    <row r="202" spans="1:26" ht="12.75" customHeight="1">
      <c r="A202" s="64" t="s">
        <v>953</v>
      </c>
      <c r="B202" s="65" t="s">
        <v>707</v>
      </c>
      <c r="C202" s="65" t="s">
        <v>831</v>
      </c>
      <c r="D202" s="65" t="s">
        <v>954</v>
      </c>
      <c r="E202" s="65" t="s">
        <v>957</v>
      </c>
      <c r="F202" s="65"/>
      <c r="G202" s="65"/>
      <c r="H202" s="65"/>
      <c r="I202" s="65" t="s">
        <v>1051</v>
      </c>
      <c r="J202" s="65" t="s">
        <v>125</v>
      </c>
      <c r="K202" s="65"/>
      <c r="L202" s="65"/>
      <c r="M202" s="65"/>
      <c r="N202" s="65"/>
      <c r="O202" s="65"/>
      <c r="P202" s="65"/>
      <c r="Q202" s="65"/>
      <c r="R202" s="65"/>
      <c r="S202" s="65"/>
      <c r="T202" s="65"/>
      <c r="U202" s="65"/>
      <c r="V202" s="65"/>
      <c r="W202" s="65"/>
      <c r="X202" s="65"/>
      <c r="Y202" s="65"/>
      <c r="Z202" s="65"/>
    </row>
    <row r="203" spans="1:26" ht="12.75" customHeight="1">
      <c r="A203" s="64" t="s">
        <v>953</v>
      </c>
      <c r="B203" s="65" t="s">
        <v>707</v>
      </c>
      <c r="C203" s="65" t="s">
        <v>831</v>
      </c>
      <c r="D203" s="65" t="s">
        <v>954</v>
      </c>
      <c r="E203" s="65" t="s">
        <v>959</v>
      </c>
      <c r="F203" s="65"/>
      <c r="G203" s="65"/>
      <c r="H203" s="65"/>
      <c r="I203" s="65" t="s">
        <v>1052</v>
      </c>
      <c r="J203" s="65" t="s">
        <v>125</v>
      </c>
      <c r="K203" s="65"/>
      <c r="L203" s="65"/>
      <c r="M203" s="65"/>
      <c r="N203" s="65"/>
      <c r="O203" s="65"/>
      <c r="P203" s="65"/>
      <c r="Q203" s="65"/>
      <c r="R203" s="65"/>
      <c r="S203" s="65"/>
      <c r="T203" s="65"/>
      <c r="U203" s="65"/>
      <c r="V203" s="65"/>
      <c r="W203" s="65"/>
      <c r="X203" s="65"/>
      <c r="Y203" s="65"/>
      <c r="Z203" s="65"/>
    </row>
    <row r="204" spans="1:26" ht="12.75" customHeight="1">
      <c r="A204" s="64" t="s">
        <v>953</v>
      </c>
      <c r="B204" s="65" t="s">
        <v>707</v>
      </c>
      <c r="C204" s="65" t="s">
        <v>831</v>
      </c>
      <c r="D204" s="65" t="s">
        <v>954</v>
      </c>
      <c r="E204" s="65" t="s">
        <v>961</v>
      </c>
      <c r="F204" s="65"/>
      <c r="G204" s="65"/>
      <c r="H204" s="65"/>
      <c r="I204" s="65" t="s">
        <v>1053</v>
      </c>
      <c r="J204" s="65" t="s">
        <v>125</v>
      </c>
      <c r="K204" s="65"/>
      <c r="L204" s="65"/>
      <c r="M204" s="65"/>
      <c r="N204" s="65"/>
      <c r="O204" s="65"/>
      <c r="P204" s="65"/>
      <c r="Q204" s="65"/>
      <c r="R204" s="65"/>
      <c r="S204" s="65"/>
      <c r="T204" s="65"/>
      <c r="U204" s="65"/>
      <c r="V204" s="65"/>
      <c r="W204" s="65"/>
      <c r="X204" s="65"/>
      <c r="Y204" s="65"/>
      <c r="Z204" s="65"/>
    </row>
    <row r="205" spans="1:26" ht="12.75" customHeight="1">
      <c r="A205" s="64" t="s">
        <v>953</v>
      </c>
      <c r="B205" s="65" t="s">
        <v>707</v>
      </c>
      <c r="C205" s="65" t="s">
        <v>831</v>
      </c>
      <c r="D205" s="65" t="s">
        <v>954</v>
      </c>
      <c r="E205" s="65" t="s">
        <v>963</v>
      </c>
      <c r="F205" s="65"/>
      <c r="G205" s="65"/>
      <c r="H205" s="65"/>
      <c r="I205" s="65" t="s">
        <v>1054</v>
      </c>
      <c r="J205" s="65" t="s">
        <v>125</v>
      </c>
      <c r="K205" s="65"/>
      <c r="L205" s="65"/>
      <c r="M205" s="65"/>
      <c r="N205" s="65"/>
      <c r="O205" s="65"/>
      <c r="P205" s="65"/>
      <c r="Q205" s="65"/>
      <c r="R205" s="65"/>
      <c r="S205" s="65"/>
      <c r="T205" s="65"/>
      <c r="U205" s="65"/>
      <c r="V205" s="65"/>
      <c r="W205" s="65"/>
      <c r="X205" s="65"/>
      <c r="Y205" s="65"/>
      <c r="Z205" s="65"/>
    </row>
    <row r="206" spans="1:26" ht="12.75" customHeight="1">
      <c r="A206" s="64" t="s">
        <v>953</v>
      </c>
      <c r="B206" s="65" t="s">
        <v>707</v>
      </c>
      <c r="C206" s="65" t="s">
        <v>831</v>
      </c>
      <c r="D206" s="65" t="s">
        <v>954</v>
      </c>
      <c r="E206" s="65" t="s">
        <v>965</v>
      </c>
      <c r="F206" s="65"/>
      <c r="G206" s="65"/>
      <c r="H206" s="65"/>
      <c r="I206" s="65" t="s">
        <v>1055</v>
      </c>
      <c r="J206" s="65" t="s">
        <v>125</v>
      </c>
      <c r="K206" s="65"/>
      <c r="L206" s="65"/>
      <c r="M206" s="65"/>
      <c r="N206" s="65"/>
      <c r="O206" s="65"/>
      <c r="P206" s="65"/>
      <c r="Q206" s="65"/>
      <c r="R206" s="65"/>
      <c r="S206" s="65"/>
      <c r="T206" s="65"/>
      <c r="U206" s="65"/>
      <c r="V206" s="65"/>
      <c r="W206" s="65"/>
      <c r="X206" s="65"/>
      <c r="Y206" s="65"/>
      <c r="Z206" s="65"/>
    </row>
    <row r="207" spans="1:26" ht="12.75" customHeight="1">
      <c r="A207" s="64" t="s">
        <v>953</v>
      </c>
      <c r="B207" s="65" t="s">
        <v>707</v>
      </c>
      <c r="C207" s="65" t="s">
        <v>831</v>
      </c>
      <c r="D207" s="65" t="s">
        <v>954</v>
      </c>
      <c r="E207" s="65" t="s">
        <v>967</v>
      </c>
      <c r="F207" s="65"/>
      <c r="G207" s="65"/>
      <c r="H207" s="65"/>
      <c r="I207" s="65" t="s">
        <v>1056</v>
      </c>
      <c r="J207" s="65" t="s">
        <v>125</v>
      </c>
      <c r="K207" s="65"/>
      <c r="L207" s="65"/>
      <c r="M207" s="65"/>
      <c r="N207" s="65"/>
      <c r="O207" s="65"/>
      <c r="P207" s="65"/>
      <c r="Q207" s="65"/>
      <c r="R207" s="65"/>
      <c r="S207" s="65"/>
      <c r="T207" s="65"/>
      <c r="U207" s="65"/>
      <c r="V207" s="65"/>
      <c r="W207" s="65"/>
      <c r="X207" s="65"/>
      <c r="Y207" s="65"/>
      <c r="Z207" s="65"/>
    </row>
    <row r="208" spans="1:26" ht="12.75" customHeight="1">
      <c r="A208" s="64" t="s">
        <v>953</v>
      </c>
      <c r="B208" s="65" t="s">
        <v>707</v>
      </c>
      <c r="C208" s="65" t="s">
        <v>831</v>
      </c>
      <c r="D208" s="65" t="s">
        <v>954</v>
      </c>
      <c r="E208" s="65" t="s">
        <v>969</v>
      </c>
      <c r="F208" s="65"/>
      <c r="G208" s="65"/>
      <c r="H208" s="65"/>
      <c r="I208" s="65" t="s">
        <v>1057</v>
      </c>
      <c r="J208" s="65" t="s">
        <v>125</v>
      </c>
      <c r="K208" s="65"/>
      <c r="L208" s="65"/>
      <c r="M208" s="65"/>
      <c r="N208" s="65"/>
      <c r="O208" s="65"/>
      <c r="P208" s="65"/>
      <c r="Q208" s="65"/>
      <c r="R208" s="65"/>
      <c r="S208" s="65"/>
      <c r="T208" s="65"/>
      <c r="U208" s="65"/>
      <c r="V208" s="65"/>
      <c r="W208" s="65"/>
      <c r="X208" s="65"/>
      <c r="Y208" s="65"/>
      <c r="Z208" s="65"/>
    </row>
    <row r="209" spans="1:26" ht="12.75" customHeight="1">
      <c r="A209" s="64" t="s">
        <v>953</v>
      </c>
      <c r="B209" s="65" t="s">
        <v>707</v>
      </c>
      <c r="C209" s="65" t="s">
        <v>831</v>
      </c>
      <c r="D209" s="65" t="s">
        <v>954</v>
      </c>
      <c r="E209" s="65" t="s">
        <v>971</v>
      </c>
      <c r="F209" s="65"/>
      <c r="G209" s="65"/>
      <c r="H209" s="65"/>
      <c r="I209" s="65" t="s">
        <v>1058</v>
      </c>
      <c r="J209" s="65" t="s">
        <v>125</v>
      </c>
      <c r="K209" s="65"/>
      <c r="L209" s="65"/>
      <c r="M209" s="65"/>
      <c r="N209" s="65"/>
      <c r="O209" s="65"/>
      <c r="P209" s="65"/>
      <c r="Q209" s="65"/>
      <c r="R209" s="65"/>
      <c r="S209" s="65"/>
      <c r="T209" s="65"/>
      <c r="U209" s="65"/>
      <c r="V209" s="65"/>
      <c r="W209" s="65"/>
      <c r="X209" s="65"/>
      <c r="Y209" s="65"/>
      <c r="Z209" s="65"/>
    </row>
    <row r="210" spans="1:26" ht="12.75" customHeight="1">
      <c r="A210" s="64" t="s">
        <v>953</v>
      </c>
      <c r="B210" s="65" t="s">
        <v>707</v>
      </c>
      <c r="C210" s="65" t="s">
        <v>831</v>
      </c>
      <c r="D210" s="65" t="s">
        <v>954</v>
      </c>
      <c r="E210" s="65" t="s">
        <v>973</v>
      </c>
      <c r="F210" s="65"/>
      <c r="G210" s="65"/>
      <c r="H210" s="65"/>
      <c r="I210" s="65" t="s">
        <v>1059</v>
      </c>
      <c r="J210" s="65" t="s">
        <v>125</v>
      </c>
      <c r="K210" s="65"/>
      <c r="L210" s="65"/>
      <c r="M210" s="65"/>
      <c r="N210" s="65"/>
      <c r="O210" s="65"/>
      <c r="P210" s="65"/>
      <c r="Q210" s="65"/>
      <c r="R210" s="65"/>
      <c r="S210" s="65"/>
      <c r="T210" s="65"/>
      <c r="U210" s="65"/>
      <c r="V210" s="65"/>
      <c r="W210" s="65"/>
      <c r="X210" s="65"/>
      <c r="Y210" s="65"/>
      <c r="Z210" s="65"/>
    </row>
    <row r="211" spans="1:26" ht="12.75" customHeight="1">
      <c r="A211" s="64" t="s">
        <v>953</v>
      </c>
      <c r="B211" s="65" t="s">
        <v>707</v>
      </c>
      <c r="C211" s="65" t="s">
        <v>831</v>
      </c>
      <c r="D211" s="65" t="s">
        <v>954</v>
      </c>
      <c r="E211" s="65" t="s">
        <v>975</v>
      </c>
      <c r="F211" s="65"/>
      <c r="G211" s="65"/>
      <c r="H211" s="65"/>
      <c r="I211" s="65" t="s">
        <v>1060</v>
      </c>
      <c r="J211" s="65" t="s">
        <v>125</v>
      </c>
      <c r="K211" s="65"/>
      <c r="L211" s="65"/>
      <c r="M211" s="65"/>
      <c r="N211" s="65"/>
      <c r="O211" s="65"/>
      <c r="P211" s="65"/>
      <c r="Q211" s="65"/>
      <c r="R211" s="65"/>
      <c r="S211" s="65"/>
      <c r="T211" s="65"/>
      <c r="U211" s="65"/>
      <c r="V211" s="65"/>
      <c r="W211" s="65"/>
      <c r="X211" s="65"/>
      <c r="Y211" s="65"/>
      <c r="Z211" s="65"/>
    </row>
    <row r="212" spans="1:26" ht="12.75" customHeight="1">
      <c r="A212" s="64" t="s">
        <v>953</v>
      </c>
      <c r="B212" s="65" t="s">
        <v>707</v>
      </c>
      <c r="C212" s="65" t="s">
        <v>831</v>
      </c>
      <c r="D212" s="65" t="s">
        <v>954</v>
      </c>
      <c r="E212" s="65" t="s">
        <v>977</v>
      </c>
      <c r="F212" s="65"/>
      <c r="G212" s="65"/>
      <c r="H212" s="65"/>
      <c r="I212" s="65" t="s">
        <v>1061</v>
      </c>
      <c r="J212" s="65" t="s">
        <v>125</v>
      </c>
      <c r="K212" s="65"/>
      <c r="L212" s="65"/>
      <c r="M212" s="65"/>
      <c r="N212" s="65"/>
      <c r="O212" s="65"/>
      <c r="P212" s="65"/>
      <c r="Q212" s="65"/>
      <c r="R212" s="65"/>
      <c r="S212" s="65"/>
      <c r="T212" s="65"/>
      <c r="U212" s="65"/>
      <c r="V212" s="65"/>
      <c r="W212" s="65"/>
      <c r="X212" s="65"/>
      <c r="Y212" s="65"/>
      <c r="Z212" s="65"/>
    </row>
    <row r="213" spans="1:26" ht="12.75" customHeight="1">
      <c r="A213" s="64" t="s">
        <v>953</v>
      </c>
      <c r="B213" s="65" t="s">
        <v>707</v>
      </c>
      <c r="C213" s="65" t="s">
        <v>831</v>
      </c>
      <c r="D213" s="65" t="s">
        <v>954</v>
      </c>
      <c r="E213" s="65" t="s">
        <v>979</v>
      </c>
      <c r="F213" s="65"/>
      <c r="G213" s="65"/>
      <c r="H213" s="65"/>
      <c r="I213" s="65" t="s">
        <v>1062</v>
      </c>
      <c r="J213" s="65" t="s">
        <v>125</v>
      </c>
      <c r="K213" s="65"/>
      <c r="L213" s="65"/>
      <c r="M213" s="65"/>
      <c r="N213" s="65"/>
      <c r="O213" s="65"/>
      <c r="P213" s="65"/>
      <c r="Q213" s="65"/>
      <c r="R213" s="65"/>
      <c r="S213" s="65"/>
      <c r="T213" s="65"/>
      <c r="U213" s="65"/>
      <c r="V213" s="65"/>
      <c r="W213" s="65"/>
      <c r="X213" s="65"/>
      <c r="Y213" s="65"/>
      <c r="Z213" s="65"/>
    </row>
    <row r="214" spans="1:26" ht="12.75" customHeight="1">
      <c r="A214" s="64" t="s">
        <v>953</v>
      </c>
      <c r="B214" s="65" t="s">
        <v>707</v>
      </c>
      <c r="C214" s="65" t="s">
        <v>831</v>
      </c>
      <c r="D214" s="65" t="s">
        <v>954</v>
      </c>
      <c r="E214" s="65" t="s">
        <v>981</v>
      </c>
      <c r="F214" s="65"/>
      <c r="G214" s="65"/>
      <c r="H214" s="65"/>
      <c r="I214" s="65" t="s">
        <v>1063</v>
      </c>
      <c r="J214" s="65" t="s">
        <v>125</v>
      </c>
      <c r="K214" s="65"/>
      <c r="L214" s="65"/>
      <c r="M214" s="65"/>
      <c r="N214" s="65"/>
      <c r="O214" s="65"/>
      <c r="P214" s="65"/>
      <c r="Q214" s="65"/>
      <c r="R214" s="65"/>
      <c r="S214" s="65"/>
      <c r="T214" s="65"/>
      <c r="U214" s="65"/>
      <c r="V214" s="65"/>
      <c r="W214" s="65"/>
      <c r="X214" s="65"/>
      <c r="Y214" s="65"/>
      <c r="Z214" s="65"/>
    </row>
    <row r="215" spans="1:26" ht="12.75" customHeight="1">
      <c r="A215" s="64" t="s">
        <v>953</v>
      </c>
      <c r="B215" s="65" t="s">
        <v>707</v>
      </c>
      <c r="C215" s="65" t="s">
        <v>831</v>
      </c>
      <c r="D215" s="65" t="s">
        <v>954</v>
      </c>
      <c r="E215" s="65" t="s">
        <v>983</v>
      </c>
      <c r="F215" s="65"/>
      <c r="G215" s="65"/>
      <c r="H215" s="65"/>
      <c r="I215" s="65" t="s">
        <v>1064</v>
      </c>
      <c r="J215" s="65" t="s">
        <v>125</v>
      </c>
      <c r="K215" s="65"/>
      <c r="L215" s="65"/>
      <c r="M215" s="65"/>
      <c r="N215" s="65"/>
      <c r="O215" s="65"/>
      <c r="P215" s="65"/>
      <c r="Q215" s="65"/>
      <c r="R215" s="65"/>
      <c r="S215" s="65"/>
      <c r="T215" s="65"/>
      <c r="U215" s="65"/>
      <c r="V215" s="65"/>
      <c r="W215" s="65"/>
      <c r="X215" s="65"/>
      <c r="Y215" s="65"/>
      <c r="Z215" s="65"/>
    </row>
    <row r="216" spans="1:26" ht="12.75" customHeight="1">
      <c r="A216" s="64" t="s">
        <v>953</v>
      </c>
      <c r="B216" s="65" t="s">
        <v>707</v>
      </c>
      <c r="C216" s="65" t="s">
        <v>831</v>
      </c>
      <c r="D216" s="65" t="s">
        <v>954</v>
      </c>
      <c r="E216" s="65" t="s">
        <v>985</v>
      </c>
      <c r="F216" s="65"/>
      <c r="G216" s="65"/>
      <c r="H216" s="65"/>
      <c r="I216" s="65" t="s">
        <v>1065</v>
      </c>
      <c r="J216" s="65" t="s">
        <v>125</v>
      </c>
      <c r="K216" s="65"/>
      <c r="L216" s="65"/>
      <c r="M216" s="65"/>
      <c r="N216" s="65"/>
      <c r="O216" s="65"/>
      <c r="P216" s="65"/>
      <c r="Q216" s="65"/>
      <c r="R216" s="65"/>
      <c r="S216" s="65"/>
      <c r="T216" s="65"/>
      <c r="U216" s="65"/>
      <c r="V216" s="65"/>
      <c r="W216" s="65"/>
      <c r="X216" s="65"/>
      <c r="Y216" s="65"/>
      <c r="Z216" s="65"/>
    </row>
    <row r="217" spans="1:26" ht="12.75" customHeight="1">
      <c r="A217" s="64" t="s">
        <v>953</v>
      </c>
      <c r="B217" s="65" t="s">
        <v>707</v>
      </c>
      <c r="C217" s="65" t="s">
        <v>831</v>
      </c>
      <c r="D217" s="65" t="s">
        <v>954</v>
      </c>
      <c r="E217" s="65" t="s">
        <v>987</v>
      </c>
      <c r="F217" s="65"/>
      <c r="G217" s="65"/>
      <c r="H217" s="65"/>
      <c r="I217" s="65" t="s">
        <v>1066</v>
      </c>
      <c r="J217" s="65" t="s">
        <v>125</v>
      </c>
      <c r="K217" s="65"/>
      <c r="L217" s="65"/>
      <c r="M217" s="65"/>
      <c r="N217" s="65"/>
      <c r="O217" s="65"/>
      <c r="P217" s="65"/>
      <c r="Q217" s="65"/>
      <c r="R217" s="65"/>
      <c r="S217" s="65"/>
      <c r="T217" s="65"/>
      <c r="U217" s="65"/>
      <c r="V217" s="65"/>
      <c r="W217" s="65"/>
      <c r="X217" s="65"/>
      <c r="Y217" s="65"/>
      <c r="Z217" s="65"/>
    </row>
    <row r="218" spans="1:26" ht="12.75" customHeight="1">
      <c r="A218" s="64" t="s">
        <v>953</v>
      </c>
      <c r="B218" s="65" t="s">
        <v>707</v>
      </c>
      <c r="C218" s="65" t="s">
        <v>831</v>
      </c>
      <c r="D218" s="65" t="s">
        <v>954</v>
      </c>
      <c r="E218" s="65" t="s">
        <v>989</v>
      </c>
      <c r="F218" s="65"/>
      <c r="G218" s="65"/>
      <c r="H218" s="65"/>
      <c r="I218" s="65" t="s">
        <v>1067</v>
      </c>
      <c r="J218" s="65" t="s">
        <v>125</v>
      </c>
      <c r="K218" s="65"/>
      <c r="L218" s="65"/>
      <c r="M218" s="65"/>
      <c r="N218" s="65"/>
      <c r="O218" s="65"/>
      <c r="P218" s="65"/>
      <c r="Q218" s="65"/>
      <c r="R218" s="65"/>
      <c r="S218" s="65"/>
      <c r="T218" s="65"/>
      <c r="U218" s="65"/>
      <c r="V218" s="65"/>
      <c r="W218" s="65"/>
      <c r="X218" s="65"/>
      <c r="Y218" s="65"/>
      <c r="Z218" s="65"/>
    </row>
    <row r="219" spans="1:26" ht="12.75" customHeight="1">
      <c r="A219" s="64" t="s">
        <v>953</v>
      </c>
      <c r="B219" s="65" t="s">
        <v>707</v>
      </c>
      <c r="C219" s="65" t="s">
        <v>831</v>
      </c>
      <c r="D219" s="65" t="s">
        <v>954</v>
      </c>
      <c r="E219" s="65" t="s">
        <v>991</v>
      </c>
      <c r="F219" s="65"/>
      <c r="G219" s="65"/>
      <c r="H219" s="65"/>
      <c r="I219" s="65" t="s">
        <v>1068</v>
      </c>
      <c r="J219" s="65" t="s">
        <v>125</v>
      </c>
      <c r="K219" s="65"/>
      <c r="L219" s="65"/>
      <c r="M219" s="65"/>
      <c r="N219" s="65"/>
      <c r="O219" s="65"/>
      <c r="P219" s="65"/>
      <c r="Q219" s="65"/>
      <c r="R219" s="65"/>
      <c r="S219" s="65"/>
      <c r="T219" s="65"/>
      <c r="U219" s="65"/>
      <c r="V219" s="65"/>
      <c r="W219" s="65"/>
      <c r="X219" s="65"/>
      <c r="Y219" s="65"/>
      <c r="Z219" s="65"/>
    </row>
    <row r="220" spans="1:26" ht="12.75" customHeight="1">
      <c r="A220" s="64" t="s">
        <v>953</v>
      </c>
      <c r="B220" s="65" t="s">
        <v>707</v>
      </c>
      <c r="C220" s="65" t="s">
        <v>831</v>
      </c>
      <c r="D220" s="65" t="s">
        <v>954</v>
      </c>
      <c r="E220" s="65" t="s">
        <v>993</v>
      </c>
      <c r="F220" s="65"/>
      <c r="G220" s="65"/>
      <c r="H220" s="65"/>
      <c r="I220" s="65" t="s">
        <v>1069</v>
      </c>
      <c r="J220" s="65" t="s">
        <v>125</v>
      </c>
      <c r="K220" s="65"/>
      <c r="L220" s="65"/>
      <c r="M220" s="65"/>
      <c r="N220" s="65"/>
      <c r="O220" s="65"/>
      <c r="P220" s="65"/>
      <c r="Q220" s="65"/>
      <c r="R220" s="65"/>
      <c r="S220" s="65"/>
      <c r="T220" s="65"/>
      <c r="U220" s="65"/>
      <c r="V220" s="65"/>
      <c r="W220" s="65"/>
      <c r="X220" s="65"/>
      <c r="Y220" s="65"/>
      <c r="Z220" s="65"/>
    </row>
    <row r="221" spans="1:26" ht="12.75" customHeight="1">
      <c r="A221" s="64" t="s">
        <v>953</v>
      </c>
      <c r="B221" s="65" t="s">
        <v>707</v>
      </c>
      <c r="C221" s="65" t="s">
        <v>831</v>
      </c>
      <c r="D221" s="65" t="s">
        <v>954</v>
      </c>
      <c r="E221" s="65" t="s">
        <v>995</v>
      </c>
      <c r="F221" s="65"/>
      <c r="G221" s="65"/>
      <c r="H221" s="65"/>
      <c r="I221" s="65" t="s">
        <v>1070</v>
      </c>
      <c r="J221" s="65" t="s">
        <v>125</v>
      </c>
      <c r="K221" s="65"/>
      <c r="L221" s="65"/>
      <c r="M221" s="65"/>
      <c r="N221" s="65"/>
      <c r="O221" s="65"/>
      <c r="P221" s="65"/>
      <c r="Q221" s="65"/>
      <c r="R221" s="65"/>
      <c r="S221" s="65"/>
      <c r="T221" s="65"/>
      <c r="U221" s="65"/>
      <c r="V221" s="65"/>
      <c r="W221" s="65"/>
      <c r="X221" s="65"/>
      <c r="Y221" s="65"/>
      <c r="Z221" s="65"/>
    </row>
    <row r="222" spans="1:26" ht="12.75" customHeight="1">
      <c r="A222" s="64" t="s">
        <v>953</v>
      </c>
      <c r="B222" s="65" t="s">
        <v>707</v>
      </c>
      <c r="C222" s="65" t="s">
        <v>831</v>
      </c>
      <c r="D222" s="65" t="s">
        <v>954</v>
      </c>
      <c r="E222" s="65" t="s">
        <v>997</v>
      </c>
      <c r="F222" s="65"/>
      <c r="G222" s="65"/>
      <c r="H222" s="65"/>
      <c r="I222" s="65" t="s">
        <v>1071</v>
      </c>
      <c r="J222" s="65" t="s">
        <v>125</v>
      </c>
      <c r="K222" s="65"/>
      <c r="L222" s="65"/>
      <c r="M222" s="65"/>
      <c r="N222" s="65"/>
      <c r="O222" s="65"/>
      <c r="P222" s="65"/>
      <c r="Q222" s="65"/>
      <c r="R222" s="65"/>
      <c r="S222" s="65"/>
      <c r="T222" s="65"/>
      <c r="U222" s="65"/>
      <c r="V222" s="65"/>
      <c r="W222" s="65"/>
      <c r="X222" s="65"/>
      <c r="Y222" s="65"/>
      <c r="Z222" s="65"/>
    </row>
    <row r="223" spans="1:26" ht="12.75" customHeight="1">
      <c r="A223" s="64" t="s">
        <v>953</v>
      </c>
      <c r="B223" s="65" t="s">
        <v>707</v>
      </c>
      <c r="C223" s="65" t="s">
        <v>831</v>
      </c>
      <c r="D223" s="65" t="s">
        <v>954</v>
      </c>
      <c r="E223" s="65" t="s">
        <v>999</v>
      </c>
      <c r="F223" s="65"/>
      <c r="G223" s="65"/>
      <c r="H223" s="65"/>
      <c r="I223" s="65" t="s">
        <v>1072</v>
      </c>
      <c r="J223" s="65" t="s">
        <v>125</v>
      </c>
      <c r="K223" s="65"/>
      <c r="L223" s="65"/>
      <c r="M223" s="65"/>
      <c r="N223" s="65"/>
      <c r="O223" s="65"/>
      <c r="P223" s="65"/>
      <c r="Q223" s="65"/>
      <c r="R223" s="65"/>
      <c r="S223" s="65"/>
      <c r="T223" s="65"/>
      <c r="U223" s="65"/>
      <c r="V223" s="65"/>
      <c r="W223" s="65"/>
      <c r="X223" s="65"/>
      <c r="Y223" s="65"/>
      <c r="Z223" s="65"/>
    </row>
    <row r="224" spans="1:26" ht="12.75" customHeight="1">
      <c r="A224" s="64" t="s">
        <v>953</v>
      </c>
      <c r="B224" s="65" t="s">
        <v>707</v>
      </c>
      <c r="C224" s="65" t="s">
        <v>831</v>
      </c>
      <c r="D224" s="65" t="s">
        <v>954</v>
      </c>
      <c r="E224" s="65" t="s">
        <v>1001</v>
      </c>
      <c r="F224" s="65"/>
      <c r="G224" s="65"/>
      <c r="H224" s="65"/>
      <c r="I224" s="65" t="s">
        <v>1073</v>
      </c>
      <c r="J224" s="65" t="s">
        <v>125</v>
      </c>
      <c r="K224" s="65"/>
      <c r="L224" s="65"/>
      <c r="M224" s="65"/>
      <c r="N224" s="65"/>
      <c r="O224" s="65"/>
      <c r="P224" s="65"/>
      <c r="Q224" s="65"/>
      <c r="R224" s="65"/>
      <c r="S224" s="65"/>
      <c r="T224" s="65"/>
      <c r="U224" s="65"/>
      <c r="V224" s="65"/>
      <c r="W224" s="65"/>
      <c r="X224" s="65"/>
      <c r="Y224" s="65"/>
      <c r="Z224" s="65"/>
    </row>
    <row r="225" spans="1:26" ht="12.75" customHeight="1">
      <c r="A225" s="64" t="s">
        <v>953</v>
      </c>
      <c r="B225" s="65" t="s">
        <v>707</v>
      </c>
      <c r="C225" s="65" t="s">
        <v>831</v>
      </c>
      <c r="D225" s="65" t="s">
        <v>954</v>
      </c>
      <c r="E225" s="65" t="s">
        <v>1003</v>
      </c>
      <c r="F225" s="65"/>
      <c r="G225" s="65"/>
      <c r="H225" s="65"/>
      <c r="I225" s="65" t="s">
        <v>1074</v>
      </c>
      <c r="J225" s="65" t="s">
        <v>125</v>
      </c>
      <c r="K225" s="65"/>
      <c r="L225" s="65"/>
      <c r="M225" s="65"/>
      <c r="N225" s="65"/>
      <c r="O225" s="65"/>
      <c r="P225" s="65"/>
      <c r="Q225" s="65"/>
      <c r="R225" s="65"/>
      <c r="S225" s="65"/>
      <c r="T225" s="65"/>
      <c r="U225" s="65"/>
      <c r="V225" s="65"/>
      <c r="W225" s="65"/>
      <c r="X225" s="65"/>
      <c r="Y225" s="65"/>
      <c r="Z225" s="65"/>
    </row>
    <row r="226" spans="1:26" ht="12.75" customHeight="1">
      <c r="A226" s="64" t="s">
        <v>953</v>
      </c>
      <c r="B226" s="65" t="s">
        <v>707</v>
      </c>
      <c r="C226" s="65" t="s">
        <v>831</v>
      </c>
      <c r="D226" s="65" t="s">
        <v>954</v>
      </c>
      <c r="E226" s="65" t="s">
        <v>1005</v>
      </c>
      <c r="F226" s="65"/>
      <c r="G226" s="65"/>
      <c r="H226" s="65"/>
      <c r="I226" s="65" t="s">
        <v>1075</v>
      </c>
      <c r="J226" s="65" t="s">
        <v>125</v>
      </c>
      <c r="K226" s="65"/>
      <c r="L226" s="65"/>
      <c r="M226" s="65"/>
      <c r="N226" s="65"/>
      <c r="O226" s="65"/>
      <c r="P226" s="65"/>
      <c r="Q226" s="65"/>
      <c r="R226" s="65"/>
      <c r="S226" s="65"/>
      <c r="T226" s="65"/>
      <c r="U226" s="65"/>
      <c r="V226" s="65"/>
      <c r="W226" s="65"/>
      <c r="X226" s="65"/>
      <c r="Y226" s="65"/>
      <c r="Z226" s="65"/>
    </row>
    <row r="227" spans="1:26" ht="12.75" customHeight="1">
      <c r="A227" s="64" t="s">
        <v>953</v>
      </c>
      <c r="B227" s="65" t="s">
        <v>707</v>
      </c>
      <c r="C227" s="65" t="s">
        <v>831</v>
      </c>
      <c r="D227" s="65" t="s">
        <v>954</v>
      </c>
      <c r="E227" s="65" t="s">
        <v>1007</v>
      </c>
      <c r="F227" s="65"/>
      <c r="G227" s="65"/>
      <c r="H227" s="65"/>
      <c r="I227" s="65" t="s">
        <v>1076</v>
      </c>
      <c r="J227" s="65" t="s">
        <v>125</v>
      </c>
      <c r="K227" s="65"/>
      <c r="L227" s="65"/>
      <c r="M227" s="65"/>
      <c r="N227" s="65"/>
      <c r="O227" s="65"/>
      <c r="P227" s="65"/>
      <c r="Q227" s="65"/>
      <c r="R227" s="65"/>
      <c r="S227" s="65"/>
      <c r="T227" s="65"/>
      <c r="U227" s="65"/>
      <c r="V227" s="65"/>
      <c r="W227" s="65"/>
      <c r="X227" s="65"/>
      <c r="Y227" s="65"/>
      <c r="Z227" s="65"/>
    </row>
    <row r="228" spans="1:26" ht="12.75" customHeight="1">
      <c r="A228" s="64" t="s">
        <v>953</v>
      </c>
      <c r="B228" s="65" t="s">
        <v>707</v>
      </c>
      <c r="C228" s="65" t="s">
        <v>831</v>
      </c>
      <c r="D228" s="65" t="s">
        <v>954</v>
      </c>
      <c r="E228" s="65" t="s">
        <v>1009</v>
      </c>
      <c r="F228" s="65"/>
      <c r="G228" s="65"/>
      <c r="H228" s="65"/>
      <c r="I228" s="65" t="s">
        <v>1077</v>
      </c>
      <c r="J228" s="65" t="s">
        <v>125</v>
      </c>
      <c r="K228" s="65"/>
      <c r="L228" s="65"/>
      <c r="M228" s="65"/>
      <c r="N228" s="65"/>
      <c r="O228" s="65"/>
      <c r="P228" s="65"/>
      <c r="Q228" s="65"/>
      <c r="R228" s="65"/>
      <c r="S228" s="65"/>
      <c r="T228" s="65"/>
      <c r="U228" s="65"/>
      <c r="V228" s="65"/>
      <c r="W228" s="65"/>
      <c r="X228" s="65"/>
      <c r="Y228" s="65"/>
      <c r="Z228" s="65"/>
    </row>
    <row r="229" spans="1:26" ht="12.75" customHeight="1">
      <c r="A229" s="64" t="s">
        <v>953</v>
      </c>
      <c r="B229" s="65" t="s">
        <v>707</v>
      </c>
      <c r="C229" s="65" t="s">
        <v>831</v>
      </c>
      <c r="D229" s="65" t="s">
        <v>954</v>
      </c>
      <c r="E229" s="65" t="s">
        <v>1011</v>
      </c>
      <c r="F229" s="65"/>
      <c r="G229" s="65"/>
      <c r="H229" s="65"/>
      <c r="I229" s="65" t="s">
        <v>1078</v>
      </c>
      <c r="J229" s="65" t="s">
        <v>125</v>
      </c>
      <c r="K229" s="65"/>
      <c r="L229" s="65"/>
      <c r="M229" s="65"/>
      <c r="N229" s="65"/>
      <c r="O229" s="65"/>
      <c r="P229" s="65"/>
      <c r="Q229" s="65"/>
      <c r="R229" s="65"/>
      <c r="S229" s="65"/>
      <c r="T229" s="65"/>
      <c r="U229" s="65"/>
      <c r="V229" s="65"/>
      <c r="W229" s="65"/>
      <c r="X229" s="65"/>
      <c r="Y229" s="65"/>
      <c r="Z229" s="65"/>
    </row>
    <row r="230" spans="1:26" ht="12.75" customHeight="1">
      <c r="A230" s="64" t="s">
        <v>953</v>
      </c>
      <c r="B230" s="65" t="s">
        <v>707</v>
      </c>
      <c r="C230" s="65" t="s">
        <v>831</v>
      </c>
      <c r="D230" s="65" t="s">
        <v>954</v>
      </c>
      <c r="E230" s="65" t="s">
        <v>1016</v>
      </c>
      <c r="F230" s="65"/>
      <c r="G230" s="65"/>
      <c r="H230" s="65"/>
      <c r="I230" s="65" t="s">
        <v>1079</v>
      </c>
      <c r="J230" s="65" t="s">
        <v>125</v>
      </c>
      <c r="K230" s="65"/>
      <c r="L230" s="65"/>
      <c r="M230" s="65"/>
      <c r="N230" s="65"/>
      <c r="O230" s="65"/>
      <c r="P230" s="65"/>
      <c r="Q230" s="65"/>
      <c r="R230" s="65"/>
      <c r="S230" s="65"/>
      <c r="T230" s="65"/>
      <c r="U230" s="65"/>
      <c r="V230" s="65"/>
      <c r="W230" s="65"/>
      <c r="X230" s="65"/>
      <c r="Y230" s="65"/>
      <c r="Z230" s="65"/>
    </row>
    <row r="231" spans="1:26" ht="12.75" customHeight="1">
      <c r="A231" s="64" t="s">
        <v>1080</v>
      </c>
      <c r="B231" s="65" t="s">
        <v>707</v>
      </c>
      <c r="C231" s="65" t="s">
        <v>708</v>
      </c>
      <c r="D231" s="65" t="s">
        <v>1081</v>
      </c>
      <c r="E231" s="65" t="s">
        <v>1082</v>
      </c>
      <c r="F231" s="65" t="s">
        <v>1083</v>
      </c>
      <c r="G231" s="65" t="s">
        <v>1084</v>
      </c>
      <c r="H231" s="65" t="s">
        <v>745</v>
      </c>
      <c r="I231" s="65" t="s">
        <v>1085</v>
      </c>
      <c r="J231" s="65" t="s">
        <v>125</v>
      </c>
      <c r="K231" s="65"/>
      <c r="L231" s="65"/>
      <c r="M231" s="65"/>
      <c r="N231" s="65"/>
      <c r="O231" s="65"/>
      <c r="P231" s="65"/>
      <c r="Q231" s="65"/>
      <c r="R231" s="65"/>
      <c r="S231" s="65"/>
      <c r="T231" s="65"/>
      <c r="U231" s="65"/>
      <c r="V231" s="65"/>
      <c r="W231" s="65"/>
      <c r="X231" s="65"/>
      <c r="Y231" s="65"/>
      <c r="Z231" s="65"/>
    </row>
    <row r="232" spans="1:26" ht="12.75" customHeight="1">
      <c r="A232" s="64" t="s">
        <v>1080</v>
      </c>
      <c r="B232" s="65" t="s">
        <v>707</v>
      </c>
      <c r="C232" s="65" t="s">
        <v>708</v>
      </c>
      <c r="D232" s="65" t="s">
        <v>1081</v>
      </c>
      <c r="E232" s="65" t="s">
        <v>1086</v>
      </c>
      <c r="F232" s="65" t="s">
        <v>1087</v>
      </c>
      <c r="G232" s="65" t="s">
        <v>1084</v>
      </c>
      <c r="H232" s="65" t="s">
        <v>745</v>
      </c>
      <c r="I232" s="65" t="s">
        <v>1088</v>
      </c>
      <c r="J232" s="65" t="s">
        <v>125</v>
      </c>
      <c r="K232" s="65"/>
      <c r="L232" s="65"/>
      <c r="M232" s="65"/>
      <c r="N232" s="65"/>
      <c r="O232" s="65"/>
      <c r="P232" s="65"/>
      <c r="Q232" s="65"/>
      <c r="R232" s="65"/>
      <c r="S232" s="65"/>
      <c r="T232" s="65"/>
      <c r="U232" s="65"/>
      <c r="V232" s="65"/>
      <c r="W232" s="65"/>
      <c r="X232" s="65"/>
      <c r="Y232" s="65"/>
      <c r="Z232" s="65"/>
    </row>
    <row r="233" spans="1:26" ht="12.75" customHeight="1">
      <c r="A233" s="64" t="s">
        <v>1080</v>
      </c>
      <c r="B233" s="65" t="s">
        <v>707</v>
      </c>
      <c r="C233" s="65" t="s">
        <v>810</v>
      </c>
      <c r="D233" s="65" t="s">
        <v>709</v>
      </c>
      <c r="E233" s="65" t="s">
        <v>1089</v>
      </c>
      <c r="F233" s="65"/>
      <c r="G233" s="65"/>
      <c r="H233" s="65"/>
      <c r="I233" s="65" t="s">
        <v>1090</v>
      </c>
      <c r="J233" s="65" t="s">
        <v>125</v>
      </c>
      <c r="K233" s="65"/>
      <c r="L233" s="65"/>
      <c r="M233" s="65"/>
      <c r="N233" s="65"/>
      <c r="O233" s="65"/>
      <c r="P233" s="65"/>
      <c r="Q233" s="65"/>
      <c r="R233" s="65"/>
      <c r="S233" s="65"/>
      <c r="T233" s="65"/>
      <c r="U233" s="65"/>
      <c r="V233" s="65"/>
      <c r="W233" s="65"/>
      <c r="X233" s="65"/>
      <c r="Y233" s="65"/>
      <c r="Z233" s="65"/>
    </row>
    <row r="234" spans="1:26" ht="12.75" customHeight="1">
      <c r="A234" s="64" t="s">
        <v>1080</v>
      </c>
      <c r="B234" s="65" t="s">
        <v>707</v>
      </c>
      <c r="C234" s="65" t="s">
        <v>810</v>
      </c>
      <c r="D234" s="65" t="s">
        <v>709</v>
      </c>
      <c r="E234" s="65" t="s">
        <v>1091</v>
      </c>
      <c r="F234" s="65"/>
      <c r="G234" s="65"/>
      <c r="H234" s="65"/>
      <c r="I234" s="65" t="s">
        <v>1092</v>
      </c>
      <c r="J234" s="65" t="s">
        <v>125</v>
      </c>
      <c r="K234" s="65"/>
      <c r="L234" s="65"/>
      <c r="M234" s="65"/>
      <c r="N234" s="65"/>
      <c r="O234" s="65"/>
      <c r="P234" s="65"/>
      <c r="Q234" s="65"/>
      <c r="R234" s="65"/>
      <c r="S234" s="65"/>
      <c r="T234" s="65"/>
      <c r="U234" s="65"/>
      <c r="V234" s="65"/>
      <c r="W234" s="65"/>
      <c r="X234" s="65"/>
      <c r="Y234" s="65"/>
      <c r="Z234" s="65"/>
    </row>
    <row r="235" spans="1:26" ht="12.75" customHeight="1">
      <c r="A235" s="64" t="s">
        <v>1080</v>
      </c>
      <c r="B235" s="65" t="s">
        <v>707</v>
      </c>
      <c r="C235" s="65" t="s">
        <v>810</v>
      </c>
      <c r="D235" s="65" t="s">
        <v>1081</v>
      </c>
      <c r="E235" s="65" t="s">
        <v>1082</v>
      </c>
      <c r="F235" s="65" t="s">
        <v>1093</v>
      </c>
      <c r="G235" s="65" t="s">
        <v>1084</v>
      </c>
      <c r="H235" s="65" t="s">
        <v>745</v>
      </c>
      <c r="I235" s="65" t="s">
        <v>1094</v>
      </c>
      <c r="J235" s="65" t="s">
        <v>125</v>
      </c>
      <c r="K235" s="65"/>
      <c r="L235" s="65"/>
      <c r="M235" s="65"/>
      <c r="N235" s="65"/>
      <c r="O235" s="65"/>
      <c r="P235" s="65"/>
      <c r="Q235" s="65"/>
      <c r="R235" s="65"/>
      <c r="S235" s="65"/>
      <c r="T235" s="65"/>
      <c r="U235" s="65"/>
      <c r="V235" s="65"/>
      <c r="W235" s="65"/>
      <c r="X235" s="65"/>
      <c r="Y235" s="65"/>
      <c r="Z235" s="65"/>
    </row>
    <row r="236" spans="1:26" ht="12.75" customHeight="1">
      <c r="A236" s="64" t="s">
        <v>1080</v>
      </c>
      <c r="B236" s="65" t="s">
        <v>707</v>
      </c>
      <c r="C236" s="65" t="s">
        <v>810</v>
      </c>
      <c r="D236" s="65" t="s">
        <v>1081</v>
      </c>
      <c r="E236" s="65" t="s">
        <v>1086</v>
      </c>
      <c r="F236" s="65" t="s">
        <v>1087</v>
      </c>
      <c r="G236" s="65" t="s">
        <v>1084</v>
      </c>
      <c r="H236" s="65" t="s">
        <v>745</v>
      </c>
      <c r="I236" s="65" t="s">
        <v>1095</v>
      </c>
      <c r="J236" s="65" t="s">
        <v>125</v>
      </c>
      <c r="K236" s="65"/>
      <c r="L236" s="65"/>
      <c r="M236" s="65"/>
      <c r="N236" s="65"/>
      <c r="O236" s="65"/>
      <c r="P236" s="65"/>
      <c r="Q236" s="65"/>
      <c r="R236" s="65"/>
      <c r="S236" s="65"/>
      <c r="T236" s="65"/>
      <c r="U236" s="65"/>
      <c r="V236" s="65"/>
      <c r="W236" s="65"/>
      <c r="X236" s="65"/>
      <c r="Y236" s="65"/>
      <c r="Z236" s="65"/>
    </row>
    <row r="237" spans="1:26" ht="12.75" customHeight="1">
      <c r="A237" s="64" t="s">
        <v>1080</v>
      </c>
      <c r="B237" s="65" t="s">
        <v>707</v>
      </c>
      <c r="C237" s="65" t="s">
        <v>810</v>
      </c>
      <c r="D237" s="65" t="s">
        <v>1081</v>
      </c>
      <c r="E237" s="65" t="s">
        <v>1086</v>
      </c>
      <c r="F237" s="65" t="s">
        <v>1087</v>
      </c>
      <c r="G237" s="65" t="s">
        <v>1014</v>
      </c>
      <c r="H237" s="65" t="s">
        <v>745</v>
      </c>
      <c r="I237" s="65" t="s">
        <v>1095</v>
      </c>
      <c r="J237" s="65" t="s">
        <v>125</v>
      </c>
      <c r="K237" s="65"/>
      <c r="L237" s="65"/>
      <c r="M237" s="65"/>
      <c r="N237" s="65"/>
      <c r="O237" s="65"/>
      <c r="P237" s="65"/>
      <c r="Q237" s="65"/>
      <c r="R237" s="65"/>
      <c r="S237" s="65"/>
      <c r="T237" s="65"/>
      <c r="U237" s="65"/>
      <c r="V237" s="65"/>
      <c r="W237" s="65"/>
      <c r="X237" s="65"/>
      <c r="Y237" s="65"/>
      <c r="Z237" s="65"/>
    </row>
    <row r="238" spans="1:26" ht="12.75" customHeight="1">
      <c r="A238" s="64" t="s">
        <v>1080</v>
      </c>
      <c r="B238" s="65" t="s">
        <v>707</v>
      </c>
      <c r="C238" s="65" t="s">
        <v>810</v>
      </c>
      <c r="D238" s="65" t="s">
        <v>1081</v>
      </c>
      <c r="E238" s="65" t="s">
        <v>1086</v>
      </c>
      <c r="F238" s="65" t="s">
        <v>1087</v>
      </c>
      <c r="G238" s="65" t="s">
        <v>1096</v>
      </c>
      <c r="H238" s="65" t="s">
        <v>745</v>
      </c>
      <c r="I238" s="65" t="s">
        <v>1095</v>
      </c>
      <c r="J238" s="65" t="s">
        <v>125</v>
      </c>
      <c r="K238" s="65"/>
      <c r="L238" s="65"/>
      <c r="M238" s="65"/>
      <c r="N238" s="65"/>
      <c r="O238" s="65"/>
      <c r="P238" s="65"/>
      <c r="Q238" s="65"/>
      <c r="R238" s="65"/>
      <c r="S238" s="65"/>
      <c r="T238" s="65"/>
      <c r="U238" s="65"/>
      <c r="V238" s="65"/>
      <c r="W238" s="65"/>
      <c r="X238" s="65"/>
      <c r="Y238" s="65"/>
      <c r="Z238" s="65"/>
    </row>
    <row r="239" spans="1:26" ht="12.75" customHeight="1">
      <c r="A239" s="64" t="s">
        <v>1080</v>
      </c>
      <c r="B239" s="65" t="s">
        <v>707</v>
      </c>
      <c r="C239" s="65" t="s">
        <v>810</v>
      </c>
      <c r="D239" s="65" t="s">
        <v>1081</v>
      </c>
      <c r="E239" s="65" t="s">
        <v>1086</v>
      </c>
      <c r="F239" s="65" t="s">
        <v>1087</v>
      </c>
      <c r="G239" s="65" t="s">
        <v>1097</v>
      </c>
      <c r="H239" s="65" t="s">
        <v>1098</v>
      </c>
      <c r="I239" s="65" t="s">
        <v>1095</v>
      </c>
      <c r="J239" s="65" t="s">
        <v>125</v>
      </c>
      <c r="K239" s="65"/>
      <c r="L239" s="65"/>
      <c r="M239" s="65"/>
      <c r="N239" s="65"/>
      <c r="O239" s="65"/>
      <c r="P239" s="65"/>
      <c r="Q239" s="65"/>
      <c r="R239" s="65"/>
      <c r="S239" s="65"/>
      <c r="T239" s="65"/>
      <c r="U239" s="65"/>
      <c r="V239" s="65"/>
      <c r="W239" s="65"/>
      <c r="X239" s="65"/>
      <c r="Y239" s="65"/>
      <c r="Z239" s="65"/>
    </row>
    <row r="240" spans="1:26" ht="12.75" customHeight="1">
      <c r="A240" s="64" t="s">
        <v>1080</v>
      </c>
      <c r="B240" s="65" t="s">
        <v>707</v>
      </c>
      <c r="C240" s="65" t="s">
        <v>810</v>
      </c>
      <c r="D240" s="65" t="s">
        <v>1081</v>
      </c>
      <c r="E240" s="65" t="s">
        <v>1086</v>
      </c>
      <c r="F240" s="65" t="s">
        <v>1087</v>
      </c>
      <c r="G240" s="65" t="s">
        <v>1097</v>
      </c>
      <c r="H240" s="65" t="s">
        <v>1099</v>
      </c>
      <c r="I240" s="65" t="s">
        <v>1095</v>
      </c>
      <c r="J240" s="65" t="s">
        <v>125</v>
      </c>
      <c r="K240" s="65"/>
      <c r="L240" s="65"/>
      <c r="M240" s="65"/>
      <c r="N240" s="65"/>
      <c r="O240" s="65"/>
      <c r="P240" s="65"/>
      <c r="Q240" s="65"/>
      <c r="R240" s="65"/>
      <c r="S240" s="65"/>
      <c r="T240" s="65"/>
      <c r="U240" s="65"/>
      <c r="V240" s="65"/>
      <c r="W240" s="65"/>
      <c r="X240" s="65"/>
      <c r="Y240" s="65"/>
      <c r="Z240" s="65"/>
    </row>
    <row r="241" spans="1:26" ht="12.75" customHeight="1">
      <c r="A241" s="64" t="s">
        <v>1080</v>
      </c>
      <c r="B241" s="65" t="s">
        <v>707</v>
      </c>
      <c r="C241" s="65" t="s">
        <v>810</v>
      </c>
      <c r="D241" s="65" t="s">
        <v>1081</v>
      </c>
      <c r="E241" s="65" t="s">
        <v>1100</v>
      </c>
      <c r="F241" s="65" t="s">
        <v>1101</v>
      </c>
      <c r="G241" s="65" t="s">
        <v>1014</v>
      </c>
      <c r="H241" s="65" t="s">
        <v>745</v>
      </c>
      <c r="I241" s="65" t="s">
        <v>1102</v>
      </c>
      <c r="J241" s="65" t="s">
        <v>125</v>
      </c>
      <c r="K241" s="65"/>
      <c r="L241" s="65"/>
      <c r="M241" s="65"/>
      <c r="N241" s="65"/>
      <c r="O241" s="65"/>
      <c r="P241" s="65"/>
      <c r="Q241" s="65"/>
      <c r="R241" s="65"/>
      <c r="S241" s="65"/>
      <c r="T241" s="65"/>
      <c r="U241" s="65"/>
      <c r="V241" s="65"/>
      <c r="W241" s="65"/>
      <c r="X241" s="65"/>
      <c r="Y241" s="65"/>
      <c r="Z241" s="65"/>
    </row>
    <row r="242" spans="1:26" ht="12.75" customHeight="1">
      <c r="A242" s="64" t="s">
        <v>1080</v>
      </c>
      <c r="B242" s="65" t="s">
        <v>707</v>
      </c>
      <c r="C242" s="65" t="s">
        <v>810</v>
      </c>
      <c r="D242" s="65" t="s">
        <v>1081</v>
      </c>
      <c r="E242" s="65" t="s">
        <v>1103</v>
      </c>
      <c r="F242" s="65"/>
      <c r="G242" s="65" t="s">
        <v>1014</v>
      </c>
      <c r="H242" s="65" t="s">
        <v>1104</v>
      </c>
      <c r="I242" s="65" t="s">
        <v>1105</v>
      </c>
      <c r="J242" s="65" t="s">
        <v>125</v>
      </c>
      <c r="K242" s="65"/>
      <c r="L242" s="65"/>
      <c r="M242" s="65"/>
      <c r="N242" s="65"/>
      <c r="O242" s="65"/>
      <c r="P242" s="65"/>
      <c r="Q242" s="65"/>
      <c r="R242" s="65"/>
      <c r="S242" s="65"/>
      <c r="T242" s="65"/>
      <c r="U242" s="65"/>
      <c r="V242" s="65"/>
      <c r="W242" s="65"/>
      <c r="X242" s="65"/>
      <c r="Y242" s="65"/>
      <c r="Z242" s="65"/>
    </row>
    <row r="243" spans="1:26" ht="12.75" customHeight="1">
      <c r="A243" s="64" t="s">
        <v>1080</v>
      </c>
      <c r="B243" s="65" t="s">
        <v>707</v>
      </c>
      <c r="C243" s="65" t="s">
        <v>810</v>
      </c>
      <c r="D243" s="65" t="s">
        <v>1081</v>
      </c>
      <c r="E243" s="65" t="s">
        <v>1106</v>
      </c>
      <c r="F243" s="65" t="s">
        <v>1107</v>
      </c>
      <c r="G243" s="65" t="s">
        <v>1014</v>
      </c>
      <c r="H243" s="65" t="s">
        <v>1108</v>
      </c>
      <c r="I243" s="65" t="s">
        <v>1109</v>
      </c>
      <c r="J243" s="65" t="s">
        <v>125</v>
      </c>
      <c r="K243" s="65"/>
      <c r="L243" s="65"/>
      <c r="M243" s="65"/>
      <c r="N243" s="65"/>
      <c r="O243" s="65"/>
      <c r="P243" s="65"/>
      <c r="Q243" s="65"/>
      <c r="R243" s="65"/>
      <c r="S243" s="65"/>
      <c r="T243" s="65"/>
      <c r="U243" s="65"/>
      <c r="V243" s="65"/>
      <c r="W243" s="65"/>
      <c r="X243" s="65"/>
      <c r="Y243" s="65"/>
      <c r="Z243" s="65"/>
    </row>
    <row r="244" spans="1:26" ht="12.75" customHeight="1">
      <c r="A244" s="64" t="s">
        <v>1080</v>
      </c>
      <c r="B244" s="65" t="s">
        <v>707</v>
      </c>
      <c r="C244" s="65" t="s">
        <v>810</v>
      </c>
      <c r="D244" s="65" t="s">
        <v>1081</v>
      </c>
      <c r="E244" s="65" t="s">
        <v>1110</v>
      </c>
      <c r="F244" s="65"/>
      <c r="G244" s="65" t="s">
        <v>1014</v>
      </c>
      <c r="H244" s="65" t="s">
        <v>1111</v>
      </c>
      <c r="I244" s="65" t="s">
        <v>1112</v>
      </c>
      <c r="J244" s="65" t="s">
        <v>125</v>
      </c>
      <c r="K244" s="65"/>
      <c r="L244" s="65"/>
      <c r="M244" s="65"/>
      <c r="N244" s="65"/>
      <c r="O244" s="65"/>
      <c r="P244" s="65"/>
      <c r="Q244" s="65"/>
      <c r="R244" s="65"/>
      <c r="S244" s="65"/>
      <c r="T244" s="65"/>
      <c r="U244" s="65"/>
      <c r="V244" s="65"/>
      <c r="W244" s="65"/>
      <c r="X244" s="65"/>
      <c r="Y244" s="65"/>
      <c r="Z244" s="65"/>
    </row>
    <row r="245" spans="1:26" ht="12.75" customHeight="1">
      <c r="A245" s="64" t="s">
        <v>1080</v>
      </c>
      <c r="B245" s="65" t="s">
        <v>707</v>
      </c>
      <c r="C245" s="65" t="s">
        <v>810</v>
      </c>
      <c r="D245" s="65" t="s">
        <v>1081</v>
      </c>
      <c r="E245" s="65" t="s">
        <v>1113</v>
      </c>
      <c r="F245" s="65" t="s">
        <v>1114</v>
      </c>
      <c r="G245" s="65" t="s">
        <v>1014</v>
      </c>
      <c r="H245" s="65" t="s">
        <v>1115</v>
      </c>
      <c r="I245" s="65" t="s">
        <v>1116</v>
      </c>
      <c r="J245" s="65" t="s">
        <v>125</v>
      </c>
      <c r="K245" s="65"/>
      <c r="L245" s="65"/>
      <c r="M245" s="65"/>
      <c r="N245" s="65"/>
      <c r="O245" s="65"/>
      <c r="P245" s="65"/>
      <c r="Q245" s="65"/>
      <c r="R245" s="65"/>
      <c r="S245" s="65"/>
      <c r="T245" s="65"/>
      <c r="U245" s="65"/>
      <c r="V245" s="65"/>
      <c r="W245" s="65"/>
      <c r="X245" s="65"/>
      <c r="Y245" s="65"/>
      <c r="Z245" s="65"/>
    </row>
    <row r="246" spans="1:26" ht="12.75" customHeight="1">
      <c r="A246" s="64" t="s">
        <v>1080</v>
      </c>
      <c r="B246" s="65" t="s">
        <v>707</v>
      </c>
      <c r="C246" s="65" t="s">
        <v>810</v>
      </c>
      <c r="D246" s="65" t="s">
        <v>1081</v>
      </c>
      <c r="E246" s="65" t="s">
        <v>1117</v>
      </c>
      <c r="F246" s="65" t="s">
        <v>1118</v>
      </c>
      <c r="G246" s="65" t="s">
        <v>1014</v>
      </c>
      <c r="H246" s="65" t="s">
        <v>1119</v>
      </c>
      <c r="I246" s="65" t="s">
        <v>1120</v>
      </c>
      <c r="J246" s="65" t="s">
        <v>125</v>
      </c>
      <c r="K246" s="65"/>
      <c r="L246" s="65"/>
      <c r="M246" s="65"/>
      <c r="N246" s="65"/>
      <c r="O246" s="65"/>
      <c r="P246" s="65"/>
      <c r="Q246" s="65"/>
      <c r="R246" s="65"/>
      <c r="S246" s="65"/>
      <c r="T246" s="65"/>
      <c r="U246" s="65"/>
      <c r="V246" s="65"/>
      <c r="W246" s="65"/>
      <c r="X246" s="65"/>
      <c r="Y246" s="65"/>
      <c r="Z246" s="65"/>
    </row>
    <row r="247" spans="1:26" ht="12.75" customHeight="1">
      <c r="A247" s="64" t="s">
        <v>1080</v>
      </c>
      <c r="B247" s="65" t="s">
        <v>707</v>
      </c>
      <c r="C247" s="65" t="s">
        <v>810</v>
      </c>
      <c r="D247" s="65" t="s">
        <v>1081</v>
      </c>
      <c r="E247" s="65" t="s">
        <v>1121</v>
      </c>
      <c r="F247" s="65" t="s">
        <v>1122</v>
      </c>
      <c r="G247" s="65" t="s">
        <v>744</v>
      </c>
      <c r="H247" s="65" t="s">
        <v>1121</v>
      </c>
      <c r="I247" s="65" t="s">
        <v>1123</v>
      </c>
      <c r="J247" s="65" t="s">
        <v>125</v>
      </c>
      <c r="K247" s="65"/>
      <c r="L247" s="65"/>
      <c r="M247" s="65"/>
      <c r="N247" s="65"/>
      <c r="O247" s="65"/>
      <c r="P247" s="65"/>
      <c r="Q247" s="65"/>
      <c r="R247" s="65"/>
      <c r="S247" s="65"/>
      <c r="T247" s="65"/>
      <c r="U247" s="65"/>
      <c r="V247" s="65"/>
      <c r="W247" s="65"/>
      <c r="X247" s="65"/>
      <c r="Y247" s="65"/>
      <c r="Z247" s="65"/>
    </row>
    <row r="248" spans="1:26" ht="12.75" customHeight="1">
      <c r="A248" s="64" t="s">
        <v>1080</v>
      </c>
      <c r="B248" s="65" t="s">
        <v>707</v>
      </c>
      <c r="C248" s="65" t="s">
        <v>810</v>
      </c>
      <c r="D248" s="65" t="s">
        <v>1081</v>
      </c>
      <c r="E248" s="65" t="s">
        <v>1124</v>
      </c>
      <c r="F248" s="65" t="s">
        <v>1125</v>
      </c>
      <c r="G248" s="65" t="s">
        <v>744</v>
      </c>
      <c r="H248" s="65" t="s">
        <v>1126</v>
      </c>
      <c r="I248" s="65" t="s">
        <v>1127</v>
      </c>
      <c r="J248" s="65" t="s">
        <v>125</v>
      </c>
      <c r="K248" s="65"/>
      <c r="L248" s="65"/>
      <c r="M248" s="65"/>
      <c r="N248" s="65"/>
      <c r="O248" s="65"/>
      <c r="P248" s="65"/>
      <c r="Q248" s="65"/>
      <c r="R248" s="65"/>
      <c r="S248" s="65"/>
      <c r="T248" s="65"/>
      <c r="U248" s="65"/>
      <c r="V248" s="65"/>
      <c r="W248" s="65"/>
      <c r="X248" s="65"/>
      <c r="Y248" s="65"/>
      <c r="Z248" s="65"/>
    </row>
    <row r="249" spans="1:26" ht="12.75" customHeight="1">
      <c r="A249" s="64" t="s">
        <v>1080</v>
      </c>
      <c r="B249" s="65" t="s">
        <v>707</v>
      </c>
      <c r="C249" s="65" t="s">
        <v>810</v>
      </c>
      <c r="D249" s="65" t="s">
        <v>1081</v>
      </c>
      <c r="E249" s="65" t="s">
        <v>1128</v>
      </c>
      <c r="F249" s="65" t="s">
        <v>1129</v>
      </c>
      <c r="G249" s="65" t="s">
        <v>728</v>
      </c>
      <c r="H249" s="65" t="s">
        <v>1130</v>
      </c>
      <c r="I249" s="65" t="s">
        <v>1131</v>
      </c>
      <c r="J249" s="65" t="s">
        <v>125</v>
      </c>
      <c r="K249" s="65"/>
      <c r="L249" s="65"/>
      <c r="M249" s="65"/>
      <c r="N249" s="65"/>
      <c r="O249" s="65"/>
      <c r="P249" s="65"/>
      <c r="Q249" s="65"/>
      <c r="R249" s="65"/>
      <c r="S249" s="65"/>
      <c r="T249" s="65"/>
      <c r="U249" s="65"/>
      <c r="V249" s="65"/>
      <c r="W249" s="65"/>
      <c r="X249" s="65"/>
      <c r="Y249" s="65"/>
      <c r="Z249" s="65"/>
    </row>
    <row r="250" spans="1:26" ht="12.75" customHeight="1">
      <c r="A250" s="64" t="s">
        <v>1080</v>
      </c>
      <c r="B250" s="65" t="s">
        <v>707</v>
      </c>
      <c r="C250" s="65" t="s">
        <v>810</v>
      </c>
      <c r="D250" s="65" t="s">
        <v>1081</v>
      </c>
      <c r="E250" s="65" t="s">
        <v>1128</v>
      </c>
      <c r="F250" s="65" t="s">
        <v>1129</v>
      </c>
      <c r="G250" s="65" t="s">
        <v>1132</v>
      </c>
      <c r="H250" s="65" t="s">
        <v>745</v>
      </c>
      <c r="I250" s="65" t="s">
        <v>1131</v>
      </c>
      <c r="J250" s="65" t="s">
        <v>125</v>
      </c>
      <c r="K250" s="65"/>
      <c r="L250" s="65"/>
      <c r="M250" s="65"/>
      <c r="N250" s="65"/>
      <c r="O250" s="65"/>
      <c r="P250" s="65"/>
      <c r="Q250" s="65"/>
      <c r="R250" s="65"/>
      <c r="S250" s="65"/>
      <c r="T250" s="65"/>
      <c r="U250" s="65"/>
      <c r="V250" s="65"/>
      <c r="W250" s="65"/>
      <c r="X250" s="65"/>
      <c r="Y250" s="65"/>
      <c r="Z250" s="65"/>
    </row>
    <row r="251" spans="1:26" ht="12.75" customHeight="1">
      <c r="A251" s="64" t="s">
        <v>1080</v>
      </c>
      <c r="B251" s="65" t="s">
        <v>707</v>
      </c>
      <c r="C251" s="65" t="s">
        <v>810</v>
      </c>
      <c r="D251" s="65" t="s">
        <v>1081</v>
      </c>
      <c r="E251" s="65" t="s">
        <v>1133</v>
      </c>
      <c r="F251" s="65" t="s">
        <v>1134</v>
      </c>
      <c r="G251" s="65" t="s">
        <v>1132</v>
      </c>
      <c r="H251" s="65" t="s">
        <v>745</v>
      </c>
      <c r="I251" s="65" t="s">
        <v>1135</v>
      </c>
      <c r="J251" s="65" t="s">
        <v>125</v>
      </c>
      <c r="K251" s="65"/>
      <c r="L251" s="65"/>
      <c r="M251" s="65"/>
      <c r="N251" s="65"/>
      <c r="O251" s="65"/>
      <c r="P251" s="65"/>
      <c r="Q251" s="65"/>
      <c r="R251" s="65"/>
      <c r="S251" s="65"/>
      <c r="T251" s="65"/>
      <c r="U251" s="65"/>
      <c r="V251" s="65"/>
      <c r="W251" s="65"/>
      <c r="X251" s="65"/>
      <c r="Y251" s="65"/>
      <c r="Z251" s="65"/>
    </row>
    <row r="252" spans="1:26" ht="12.75" customHeight="1">
      <c r="A252" s="64" t="s">
        <v>1080</v>
      </c>
      <c r="B252" s="65" t="s">
        <v>707</v>
      </c>
      <c r="C252" s="65" t="s">
        <v>810</v>
      </c>
      <c r="D252" s="65" t="s">
        <v>1081</v>
      </c>
      <c r="E252" s="65" t="s">
        <v>1136</v>
      </c>
      <c r="F252" s="65" t="s">
        <v>1137</v>
      </c>
      <c r="G252" s="65" t="s">
        <v>1132</v>
      </c>
      <c r="H252" s="65" t="s">
        <v>745</v>
      </c>
      <c r="I252" s="65" t="s">
        <v>1138</v>
      </c>
      <c r="J252" s="65" t="s">
        <v>125</v>
      </c>
      <c r="K252" s="65"/>
      <c r="L252" s="65"/>
      <c r="M252" s="65"/>
      <c r="N252" s="65"/>
      <c r="O252" s="65"/>
      <c r="P252" s="65"/>
      <c r="Q252" s="65"/>
      <c r="R252" s="65"/>
      <c r="S252" s="65"/>
      <c r="T252" s="65"/>
      <c r="U252" s="65"/>
      <c r="V252" s="65"/>
      <c r="W252" s="65"/>
      <c r="X252" s="65"/>
      <c r="Y252" s="65"/>
      <c r="Z252" s="65"/>
    </row>
    <row r="253" spans="1:26" ht="12.75" customHeight="1">
      <c r="A253" s="64" t="s">
        <v>1080</v>
      </c>
      <c r="B253" s="65" t="s">
        <v>707</v>
      </c>
      <c r="C253" s="65" t="s">
        <v>810</v>
      </c>
      <c r="D253" s="65" t="s">
        <v>1081</v>
      </c>
      <c r="E253" s="65" t="s">
        <v>1139</v>
      </c>
      <c r="F253" s="65" t="s">
        <v>1140</v>
      </c>
      <c r="G253" s="65" t="s">
        <v>1096</v>
      </c>
      <c r="H253" s="65" t="s">
        <v>745</v>
      </c>
      <c r="I253" s="65" t="s">
        <v>1141</v>
      </c>
      <c r="J253" s="65" t="s">
        <v>125</v>
      </c>
      <c r="K253" s="65"/>
      <c r="L253" s="65"/>
      <c r="M253" s="65"/>
      <c r="N253" s="65"/>
      <c r="O253" s="65"/>
      <c r="P253" s="65"/>
      <c r="Q253" s="65"/>
      <c r="R253" s="65"/>
      <c r="S253" s="65"/>
      <c r="T253" s="65"/>
      <c r="U253" s="65"/>
      <c r="V253" s="65"/>
      <c r="W253" s="65"/>
      <c r="X253" s="65"/>
      <c r="Y253" s="65"/>
      <c r="Z253" s="65"/>
    </row>
    <row r="254" spans="1:26" ht="12.75" customHeight="1">
      <c r="A254" s="64" t="s">
        <v>1080</v>
      </c>
      <c r="B254" s="65" t="s">
        <v>707</v>
      </c>
      <c r="C254" s="65" t="s">
        <v>810</v>
      </c>
      <c r="D254" s="65" t="s">
        <v>1081</v>
      </c>
      <c r="E254" s="65" t="s">
        <v>1142</v>
      </c>
      <c r="F254" s="65" t="s">
        <v>1143</v>
      </c>
      <c r="G254" s="65" t="s">
        <v>1096</v>
      </c>
      <c r="H254" s="65" t="s">
        <v>745</v>
      </c>
      <c r="I254" s="65" t="s">
        <v>1144</v>
      </c>
      <c r="J254" s="65" t="s">
        <v>125</v>
      </c>
      <c r="K254" s="65"/>
      <c r="L254" s="65"/>
      <c r="M254" s="65"/>
      <c r="N254" s="65"/>
      <c r="O254" s="65"/>
      <c r="P254" s="65"/>
      <c r="Q254" s="65"/>
      <c r="R254" s="65"/>
      <c r="S254" s="65"/>
      <c r="T254" s="65"/>
      <c r="U254" s="65"/>
      <c r="V254" s="65"/>
      <c r="W254" s="65"/>
      <c r="X254" s="65"/>
      <c r="Y254" s="65"/>
      <c r="Z254" s="65"/>
    </row>
    <row r="255" spans="1:26" ht="12.75" customHeight="1">
      <c r="A255" s="64" t="s">
        <v>1080</v>
      </c>
      <c r="B255" s="65" t="s">
        <v>707</v>
      </c>
      <c r="C255" s="65" t="s">
        <v>810</v>
      </c>
      <c r="D255" s="65" t="s">
        <v>1081</v>
      </c>
      <c r="E255" s="65" t="s">
        <v>1142</v>
      </c>
      <c r="F255" s="65" t="s">
        <v>1143</v>
      </c>
      <c r="G255" s="65" t="s">
        <v>1096</v>
      </c>
      <c r="H255" s="65" t="s">
        <v>1145</v>
      </c>
      <c r="I255" s="65" t="s">
        <v>1144</v>
      </c>
      <c r="J255" s="65" t="s">
        <v>125</v>
      </c>
      <c r="K255" s="65"/>
      <c r="L255" s="65"/>
      <c r="M255" s="65"/>
      <c r="N255" s="65"/>
      <c r="O255" s="65"/>
      <c r="P255" s="65"/>
      <c r="Q255" s="65"/>
      <c r="R255" s="65"/>
      <c r="S255" s="65"/>
      <c r="T255" s="65"/>
      <c r="U255" s="65"/>
      <c r="V255" s="65"/>
      <c r="W255" s="65"/>
      <c r="X255" s="65"/>
      <c r="Y255" s="65"/>
      <c r="Z255" s="65"/>
    </row>
    <row r="256" spans="1:26" ht="12.75" customHeight="1">
      <c r="A256" s="64" t="s">
        <v>1080</v>
      </c>
      <c r="B256" s="65" t="s">
        <v>707</v>
      </c>
      <c r="C256" s="65" t="s">
        <v>810</v>
      </c>
      <c r="D256" s="65" t="s">
        <v>1081</v>
      </c>
      <c r="E256" s="65" t="s">
        <v>1146</v>
      </c>
      <c r="F256" s="65" t="s">
        <v>1147</v>
      </c>
      <c r="G256" s="65" t="s">
        <v>1096</v>
      </c>
      <c r="H256" s="65" t="s">
        <v>745</v>
      </c>
      <c r="I256" s="65" t="s">
        <v>1148</v>
      </c>
      <c r="J256" s="65" t="s">
        <v>125</v>
      </c>
      <c r="K256" s="65"/>
      <c r="L256" s="65"/>
      <c r="M256" s="65"/>
      <c r="N256" s="65"/>
      <c r="O256" s="65"/>
      <c r="P256" s="65"/>
      <c r="Q256" s="65"/>
      <c r="R256" s="65"/>
      <c r="S256" s="65"/>
      <c r="T256" s="65"/>
      <c r="U256" s="65"/>
      <c r="V256" s="65"/>
      <c r="W256" s="65"/>
      <c r="X256" s="65"/>
      <c r="Y256" s="65"/>
      <c r="Z256" s="65"/>
    </row>
    <row r="257" spans="1:26" ht="12.75" customHeight="1">
      <c r="A257" s="64" t="s">
        <v>1080</v>
      </c>
      <c r="B257" s="65" t="s">
        <v>707</v>
      </c>
      <c r="C257" s="65" t="s">
        <v>810</v>
      </c>
      <c r="D257" s="65" t="s">
        <v>1081</v>
      </c>
      <c r="E257" s="65" t="s">
        <v>1149</v>
      </c>
      <c r="F257" s="65" t="s">
        <v>1150</v>
      </c>
      <c r="G257" s="65" t="s">
        <v>1096</v>
      </c>
      <c r="H257" s="65" t="s">
        <v>1151</v>
      </c>
      <c r="I257" s="65" t="s">
        <v>1152</v>
      </c>
      <c r="J257" s="65" t="s">
        <v>125</v>
      </c>
      <c r="K257" s="65"/>
      <c r="L257" s="65"/>
      <c r="M257" s="65"/>
      <c r="N257" s="65"/>
      <c r="O257" s="65"/>
      <c r="P257" s="65"/>
      <c r="Q257" s="65"/>
      <c r="R257" s="65"/>
      <c r="S257" s="65"/>
      <c r="T257" s="65"/>
      <c r="U257" s="65"/>
      <c r="V257" s="65"/>
      <c r="W257" s="65"/>
      <c r="X257" s="65"/>
      <c r="Y257" s="65"/>
      <c r="Z257" s="65"/>
    </row>
    <row r="258" spans="1:26" ht="12.75" customHeight="1">
      <c r="A258" s="64" t="s">
        <v>1080</v>
      </c>
      <c r="B258" s="65" t="s">
        <v>707</v>
      </c>
      <c r="C258" s="65" t="s">
        <v>810</v>
      </c>
      <c r="D258" s="65" t="s">
        <v>1081</v>
      </c>
      <c r="E258" s="65" t="s">
        <v>1153</v>
      </c>
      <c r="F258" s="65" t="s">
        <v>1154</v>
      </c>
      <c r="G258" s="65" t="s">
        <v>1096</v>
      </c>
      <c r="H258" s="65" t="s">
        <v>1153</v>
      </c>
      <c r="I258" s="65" t="s">
        <v>1155</v>
      </c>
      <c r="J258" s="65" t="s">
        <v>125</v>
      </c>
      <c r="K258" s="65"/>
      <c r="L258" s="65"/>
      <c r="M258" s="65"/>
      <c r="N258" s="65"/>
      <c r="O258" s="65"/>
      <c r="P258" s="65"/>
      <c r="Q258" s="65"/>
      <c r="R258" s="65"/>
      <c r="S258" s="65"/>
      <c r="T258" s="65"/>
      <c r="U258" s="65"/>
      <c r="V258" s="65"/>
      <c r="W258" s="65"/>
      <c r="X258" s="65"/>
      <c r="Y258" s="65"/>
      <c r="Z258" s="65"/>
    </row>
    <row r="259" spans="1:26" ht="12.75" customHeight="1">
      <c r="A259" s="64" t="s">
        <v>1080</v>
      </c>
      <c r="B259" s="65" t="s">
        <v>707</v>
      </c>
      <c r="C259" s="65" t="s">
        <v>810</v>
      </c>
      <c r="D259" s="65" t="s">
        <v>1081</v>
      </c>
      <c r="E259" s="65" t="s">
        <v>1156</v>
      </c>
      <c r="F259" s="65" t="s">
        <v>1157</v>
      </c>
      <c r="G259" s="65" t="s">
        <v>1158</v>
      </c>
      <c r="H259" s="65" t="s">
        <v>1159</v>
      </c>
      <c r="I259" s="65" t="s">
        <v>1160</v>
      </c>
      <c r="J259" s="65" t="s">
        <v>125</v>
      </c>
      <c r="K259" s="65"/>
      <c r="L259" s="65"/>
      <c r="M259" s="65"/>
      <c r="N259" s="65"/>
      <c r="O259" s="65"/>
      <c r="P259" s="65"/>
      <c r="Q259" s="65"/>
      <c r="R259" s="65"/>
      <c r="S259" s="65"/>
      <c r="T259" s="65"/>
      <c r="U259" s="65"/>
      <c r="V259" s="65"/>
      <c r="W259" s="65"/>
      <c r="X259" s="65"/>
      <c r="Y259" s="65"/>
      <c r="Z259" s="65"/>
    </row>
    <row r="260" spans="1:26" ht="12.75" customHeight="1">
      <c r="A260" s="64" t="s">
        <v>1080</v>
      </c>
      <c r="B260" s="65" t="s">
        <v>707</v>
      </c>
      <c r="C260" s="65" t="s">
        <v>810</v>
      </c>
      <c r="D260" s="65" t="s">
        <v>1081</v>
      </c>
      <c r="E260" s="65" t="s">
        <v>1161</v>
      </c>
      <c r="F260" s="65" t="s">
        <v>1162</v>
      </c>
      <c r="G260" s="65" t="s">
        <v>1158</v>
      </c>
      <c r="H260" s="65" t="s">
        <v>1159</v>
      </c>
      <c r="I260" s="65" t="s">
        <v>1163</v>
      </c>
      <c r="J260" s="65" t="s">
        <v>125</v>
      </c>
      <c r="K260" s="65"/>
      <c r="L260" s="65"/>
      <c r="M260" s="65"/>
      <c r="N260" s="65"/>
      <c r="O260" s="65"/>
      <c r="P260" s="65"/>
      <c r="Q260" s="65"/>
      <c r="R260" s="65"/>
      <c r="S260" s="65"/>
      <c r="T260" s="65"/>
      <c r="U260" s="65"/>
      <c r="V260" s="65"/>
      <c r="W260" s="65"/>
      <c r="X260" s="65"/>
      <c r="Y260" s="65"/>
      <c r="Z260" s="65"/>
    </row>
    <row r="261" spans="1:26" ht="12.75" customHeight="1">
      <c r="A261" s="64" t="s">
        <v>1080</v>
      </c>
      <c r="B261" s="65" t="s">
        <v>707</v>
      </c>
      <c r="C261" s="65" t="s">
        <v>810</v>
      </c>
      <c r="D261" s="65" t="s">
        <v>1081</v>
      </c>
      <c r="E261" s="65" t="s">
        <v>501</v>
      </c>
      <c r="F261" s="65" t="s">
        <v>1164</v>
      </c>
      <c r="G261" s="65" t="s">
        <v>1158</v>
      </c>
      <c r="H261" s="65" t="s">
        <v>1159</v>
      </c>
      <c r="I261" s="65" t="s">
        <v>1165</v>
      </c>
      <c r="J261" s="65" t="s">
        <v>125</v>
      </c>
      <c r="K261" s="65"/>
      <c r="L261" s="65"/>
      <c r="M261" s="65"/>
      <c r="N261" s="65"/>
      <c r="O261" s="65"/>
      <c r="P261" s="65"/>
      <c r="Q261" s="65"/>
      <c r="R261" s="65"/>
      <c r="S261" s="65"/>
      <c r="T261" s="65"/>
      <c r="U261" s="65"/>
      <c r="V261" s="65"/>
      <c r="W261" s="65"/>
      <c r="X261" s="65"/>
      <c r="Y261" s="65"/>
      <c r="Z261" s="65"/>
    </row>
    <row r="262" spans="1:26" ht="12.75" customHeight="1">
      <c r="A262" s="64" t="s">
        <v>1080</v>
      </c>
      <c r="B262" s="65" t="s">
        <v>707</v>
      </c>
      <c r="C262" s="65" t="s">
        <v>810</v>
      </c>
      <c r="D262" s="65" t="s">
        <v>1081</v>
      </c>
      <c r="E262" s="65" t="s">
        <v>1166</v>
      </c>
      <c r="F262" s="65" t="s">
        <v>1167</v>
      </c>
      <c r="G262" s="65" t="s">
        <v>1158</v>
      </c>
      <c r="H262" s="65" t="s">
        <v>1168</v>
      </c>
      <c r="I262" s="65" t="s">
        <v>1169</v>
      </c>
      <c r="J262" s="65" t="s">
        <v>125</v>
      </c>
      <c r="K262" s="65"/>
      <c r="L262" s="65"/>
      <c r="M262" s="65"/>
      <c r="N262" s="65"/>
      <c r="O262" s="65"/>
      <c r="P262" s="65"/>
      <c r="Q262" s="65"/>
      <c r="R262" s="65"/>
      <c r="S262" s="65"/>
      <c r="T262" s="65"/>
      <c r="U262" s="65"/>
      <c r="V262" s="65"/>
      <c r="W262" s="65"/>
      <c r="X262" s="65"/>
      <c r="Y262" s="65"/>
      <c r="Z262" s="65"/>
    </row>
    <row r="263" spans="1:26" ht="12.75" customHeight="1">
      <c r="A263" s="64" t="s">
        <v>1080</v>
      </c>
      <c r="B263" s="65" t="s">
        <v>707</v>
      </c>
      <c r="C263" s="65" t="s">
        <v>810</v>
      </c>
      <c r="D263" s="65" t="s">
        <v>1081</v>
      </c>
      <c r="E263" s="65" t="s">
        <v>1170</v>
      </c>
      <c r="F263" s="65" t="s">
        <v>1171</v>
      </c>
      <c r="G263" s="65" t="s">
        <v>1158</v>
      </c>
      <c r="H263" s="65" t="s">
        <v>1168</v>
      </c>
      <c r="I263" s="65" t="s">
        <v>1172</v>
      </c>
      <c r="J263" s="65" t="s">
        <v>125</v>
      </c>
      <c r="K263" s="65"/>
      <c r="L263" s="65"/>
      <c r="M263" s="65"/>
      <c r="N263" s="65"/>
      <c r="O263" s="65"/>
      <c r="P263" s="65"/>
      <c r="Q263" s="65"/>
      <c r="R263" s="65"/>
      <c r="S263" s="65"/>
      <c r="T263" s="65"/>
      <c r="U263" s="65"/>
      <c r="V263" s="65"/>
      <c r="W263" s="65"/>
      <c r="X263" s="65"/>
      <c r="Y263" s="65"/>
      <c r="Z263" s="65"/>
    </row>
    <row r="264" spans="1:26" ht="12.75" customHeight="1">
      <c r="A264" s="64" t="s">
        <v>1080</v>
      </c>
      <c r="B264" s="65" t="s">
        <v>707</v>
      </c>
      <c r="C264" s="65" t="s">
        <v>810</v>
      </c>
      <c r="D264" s="65" t="s">
        <v>1081</v>
      </c>
      <c r="E264" s="65" t="s">
        <v>1173</v>
      </c>
      <c r="F264" s="65" t="s">
        <v>1174</v>
      </c>
      <c r="G264" s="65" t="s">
        <v>1158</v>
      </c>
      <c r="H264" s="65" t="s">
        <v>1175</v>
      </c>
      <c r="I264" s="65" t="s">
        <v>1176</v>
      </c>
      <c r="J264" s="65" t="s">
        <v>125</v>
      </c>
      <c r="K264" s="65"/>
      <c r="L264" s="65"/>
      <c r="M264" s="65"/>
      <c r="N264" s="65"/>
      <c r="O264" s="65"/>
      <c r="P264" s="65"/>
      <c r="Q264" s="65"/>
      <c r="R264" s="65"/>
      <c r="S264" s="65"/>
      <c r="T264" s="65"/>
      <c r="U264" s="65"/>
      <c r="V264" s="65"/>
      <c r="W264" s="65"/>
      <c r="X264" s="65"/>
      <c r="Y264" s="65"/>
      <c r="Z264" s="65"/>
    </row>
    <row r="265" spans="1:26" ht="12.75" customHeight="1">
      <c r="A265" s="64" t="s">
        <v>1080</v>
      </c>
      <c r="B265" s="65" t="s">
        <v>707</v>
      </c>
      <c r="C265" s="65" t="s">
        <v>810</v>
      </c>
      <c r="D265" s="65" t="s">
        <v>1081</v>
      </c>
      <c r="E265" s="65" t="s">
        <v>1177</v>
      </c>
      <c r="F265" s="65" t="s">
        <v>1178</v>
      </c>
      <c r="G265" s="65" t="s">
        <v>1158</v>
      </c>
      <c r="H265" s="65" t="s">
        <v>1179</v>
      </c>
      <c r="I265" s="65" t="s">
        <v>1180</v>
      </c>
      <c r="J265" s="65" t="s">
        <v>125</v>
      </c>
      <c r="K265" s="65"/>
      <c r="L265" s="65"/>
      <c r="M265" s="65"/>
      <c r="N265" s="65"/>
      <c r="O265" s="65"/>
      <c r="P265" s="65"/>
      <c r="Q265" s="65"/>
      <c r="R265" s="65"/>
      <c r="S265" s="65"/>
      <c r="T265" s="65"/>
      <c r="U265" s="65"/>
      <c r="V265" s="65"/>
      <c r="W265" s="65"/>
      <c r="X265" s="65"/>
      <c r="Y265" s="65"/>
      <c r="Z265" s="65"/>
    </row>
    <row r="266" spans="1:26" ht="12.75" customHeight="1">
      <c r="A266" s="64" t="s">
        <v>1080</v>
      </c>
      <c r="B266" s="65" t="s">
        <v>707</v>
      </c>
      <c r="C266" s="65" t="s">
        <v>810</v>
      </c>
      <c r="D266" s="65" t="s">
        <v>1081</v>
      </c>
      <c r="E266" s="65" t="s">
        <v>1181</v>
      </c>
      <c r="F266" s="65" t="s">
        <v>1182</v>
      </c>
      <c r="G266" s="65" t="s">
        <v>1158</v>
      </c>
      <c r="H266" s="65" t="s">
        <v>1179</v>
      </c>
      <c r="I266" s="65" t="s">
        <v>1183</v>
      </c>
      <c r="J266" s="65" t="s">
        <v>125</v>
      </c>
      <c r="K266" s="65"/>
      <c r="L266" s="65"/>
      <c r="M266" s="65"/>
      <c r="N266" s="65"/>
      <c r="O266" s="65"/>
      <c r="P266" s="65"/>
      <c r="Q266" s="65"/>
      <c r="R266" s="65"/>
      <c r="S266" s="65"/>
      <c r="T266" s="65"/>
      <c r="U266" s="65"/>
      <c r="V266" s="65"/>
      <c r="W266" s="65"/>
      <c r="X266" s="65"/>
      <c r="Y266" s="65"/>
      <c r="Z266" s="65"/>
    </row>
    <row r="267" spans="1:26" ht="12.75" customHeight="1">
      <c r="A267" s="64" t="s">
        <v>1080</v>
      </c>
      <c r="B267" s="65" t="s">
        <v>707</v>
      </c>
      <c r="C267" s="65" t="s">
        <v>810</v>
      </c>
      <c r="D267" s="65" t="s">
        <v>1081</v>
      </c>
      <c r="E267" s="65" t="s">
        <v>1184</v>
      </c>
      <c r="F267" s="65" t="s">
        <v>1185</v>
      </c>
      <c r="G267" s="65" t="s">
        <v>1186</v>
      </c>
      <c r="H267" s="65" t="s">
        <v>745</v>
      </c>
      <c r="I267" s="65" t="s">
        <v>1187</v>
      </c>
      <c r="J267" s="65" t="s">
        <v>125</v>
      </c>
      <c r="K267" s="65"/>
      <c r="L267" s="65"/>
      <c r="M267" s="65"/>
      <c r="N267" s="65"/>
      <c r="O267" s="65"/>
      <c r="P267" s="65"/>
      <c r="Q267" s="65"/>
      <c r="R267" s="65"/>
      <c r="S267" s="65"/>
      <c r="T267" s="65"/>
      <c r="U267" s="65"/>
      <c r="V267" s="65"/>
      <c r="W267" s="65"/>
      <c r="X267" s="65"/>
      <c r="Y267" s="65"/>
      <c r="Z267" s="65"/>
    </row>
    <row r="268" spans="1:26" ht="12.75" customHeight="1">
      <c r="A268" s="64" t="s">
        <v>1080</v>
      </c>
      <c r="B268" s="65" t="s">
        <v>707</v>
      </c>
      <c r="C268" s="65" t="s">
        <v>810</v>
      </c>
      <c r="D268" s="65" t="s">
        <v>1081</v>
      </c>
      <c r="E268" s="65" t="s">
        <v>1188</v>
      </c>
      <c r="F268" s="65" t="s">
        <v>1189</v>
      </c>
      <c r="G268" s="65" t="s">
        <v>1186</v>
      </c>
      <c r="H268" s="65" t="s">
        <v>745</v>
      </c>
      <c r="I268" s="65" t="s">
        <v>1190</v>
      </c>
      <c r="J268" s="65" t="s">
        <v>125</v>
      </c>
      <c r="K268" s="65"/>
      <c r="L268" s="65"/>
      <c r="M268" s="65"/>
      <c r="N268" s="65"/>
      <c r="O268" s="65"/>
      <c r="P268" s="65"/>
      <c r="Q268" s="65"/>
      <c r="R268" s="65"/>
      <c r="S268" s="65"/>
      <c r="T268" s="65"/>
      <c r="U268" s="65"/>
      <c r="V268" s="65"/>
      <c r="W268" s="65"/>
      <c r="X268" s="65"/>
      <c r="Y268" s="65"/>
      <c r="Z268" s="65"/>
    </row>
    <row r="269" spans="1:26" ht="12.75" customHeight="1">
      <c r="A269" s="64" t="s">
        <v>1080</v>
      </c>
      <c r="B269" s="65" t="s">
        <v>707</v>
      </c>
      <c r="C269" s="65" t="s">
        <v>810</v>
      </c>
      <c r="D269" s="65" t="s">
        <v>1081</v>
      </c>
      <c r="E269" s="65" t="s">
        <v>1191</v>
      </c>
      <c r="F269" s="65" t="s">
        <v>1192</v>
      </c>
      <c r="G269" s="65" t="s">
        <v>1186</v>
      </c>
      <c r="H269" s="65" t="s">
        <v>745</v>
      </c>
      <c r="I269" s="65" t="s">
        <v>1193</v>
      </c>
      <c r="J269" s="65" t="s">
        <v>125</v>
      </c>
      <c r="K269" s="65"/>
      <c r="L269" s="65"/>
      <c r="M269" s="65"/>
      <c r="N269" s="65"/>
      <c r="O269" s="65"/>
      <c r="P269" s="65"/>
      <c r="Q269" s="65"/>
      <c r="R269" s="65"/>
      <c r="S269" s="65"/>
      <c r="T269" s="65"/>
      <c r="U269" s="65"/>
      <c r="V269" s="65"/>
      <c r="W269" s="65"/>
      <c r="X269" s="65"/>
      <c r="Y269" s="65"/>
      <c r="Z269" s="65"/>
    </row>
    <row r="270" spans="1:26" ht="12.75" customHeight="1">
      <c r="A270" s="64" t="s">
        <v>1080</v>
      </c>
      <c r="B270" s="65" t="s">
        <v>707</v>
      </c>
      <c r="C270" s="65" t="s">
        <v>810</v>
      </c>
      <c r="D270" s="65" t="s">
        <v>1081</v>
      </c>
      <c r="E270" s="65" t="s">
        <v>1194</v>
      </c>
      <c r="F270" s="65" t="s">
        <v>1195</v>
      </c>
      <c r="G270" s="65" t="s">
        <v>1196</v>
      </c>
      <c r="H270" s="65" t="s">
        <v>1194</v>
      </c>
      <c r="I270" s="65" t="s">
        <v>1197</v>
      </c>
      <c r="J270" s="65" t="s">
        <v>125</v>
      </c>
      <c r="K270" s="65"/>
      <c r="L270" s="65"/>
      <c r="M270" s="65"/>
      <c r="N270" s="65"/>
      <c r="O270" s="65"/>
      <c r="P270" s="65"/>
      <c r="Q270" s="65"/>
      <c r="R270" s="65"/>
      <c r="S270" s="65"/>
      <c r="T270" s="65"/>
      <c r="U270" s="65"/>
      <c r="V270" s="65"/>
      <c r="W270" s="65"/>
      <c r="X270" s="65"/>
      <c r="Y270" s="65"/>
      <c r="Z270" s="65"/>
    </row>
    <row r="271" spans="1:26" ht="12.75" customHeight="1">
      <c r="A271" s="64" t="s">
        <v>1080</v>
      </c>
      <c r="B271" s="65" t="s">
        <v>707</v>
      </c>
      <c r="C271" s="65" t="s">
        <v>810</v>
      </c>
      <c r="D271" s="65" t="s">
        <v>1081</v>
      </c>
      <c r="E271" s="65" t="s">
        <v>1198</v>
      </c>
      <c r="F271" s="65" t="s">
        <v>1199</v>
      </c>
      <c r="G271" s="65" t="s">
        <v>1097</v>
      </c>
      <c r="H271" s="65" t="s">
        <v>745</v>
      </c>
      <c r="I271" s="65" t="s">
        <v>1200</v>
      </c>
      <c r="J271" s="65" t="s">
        <v>125</v>
      </c>
      <c r="K271" s="65"/>
      <c r="L271" s="65"/>
      <c r="M271" s="65"/>
      <c r="N271" s="65"/>
      <c r="O271" s="65"/>
      <c r="P271" s="65"/>
      <c r="Q271" s="65"/>
      <c r="R271" s="65"/>
      <c r="S271" s="65"/>
      <c r="T271" s="65"/>
      <c r="U271" s="65"/>
      <c r="V271" s="65"/>
      <c r="W271" s="65"/>
      <c r="X271" s="65"/>
      <c r="Y271" s="65"/>
      <c r="Z271" s="65"/>
    </row>
    <row r="272" spans="1:26" ht="12.75" customHeight="1">
      <c r="A272" s="64" t="s">
        <v>1080</v>
      </c>
      <c r="B272" s="65" t="s">
        <v>707</v>
      </c>
      <c r="C272" s="65" t="s">
        <v>810</v>
      </c>
      <c r="D272" s="65" t="s">
        <v>1081</v>
      </c>
      <c r="E272" s="65" t="s">
        <v>1098</v>
      </c>
      <c r="F272" s="65" t="s">
        <v>1201</v>
      </c>
      <c r="G272" s="65" t="s">
        <v>1097</v>
      </c>
      <c r="H272" s="65" t="s">
        <v>1098</v>
      </c>
      <c r="I272" s="65" t="s">
        <v>1202</v>
      </c>
      <c r="J272" s="65" t="s">
        <v>125</v>
      </c>
      <c r="K272" s="65"/>
      <c r="L272" s="65"/>
      <c r="M272" s="65"/>
      <c r="N272" s="65"/>
      <c r="O272" s="65"/>
      <c r="P272" s="65"/>
      <c r="Q272" s="65"/>
      <c r="R272" s="65"/>
      <c r="S272" s="65"/>
      <c r="T272" s="65"/>
      <c r="U272" s="65"/>
      <c r="V272" s="65"/>
      <c r="W272" s="65"/>
      <c r="X272" s="65"/>
      <c r="Y272" s="65"/>
      <c r="Z272" s="65"/>
    </row>
    <row r="273" spans="1:26" ht="12.75" customHeight="1">
      <c r="A273" s="64" t="s">
        <v>1080</v>
      </c>
      <c r="B273" s="65" t="s">
        <v>707</v>
      </c>
      <c r="C273" s="65" t="s">
        <v>810</v>
      </c>
      <c r="D273" s="65" t="s">
        <v>1081</v>
      </c>
      <c r="E273" s="65" t="s">
        <v>1203</v>
      </c>
      <c r="F273" s="65" t="s">
        <v>1204</v>
      </c>
      <c r="G273" s="65" t="s">
        <v>1097</v>
      </c>
      <c r="H273" s="65" t="s">
        <v>1205</v>
      </c>
      <c r="I273" s="65" t="s">
        <v>1206</v>
      </c>
      <c r="J273" s="65" t="s">
        <v>125</v>
      </c>
      <c r="K273" s="65"/>
      <c r="L273" s="65"/>
      <c r="M273" s="65"/>
      <c r="N273" s="65"/>
      <c r="O273" s="65"/>
      <c r="P273" s="65"/>
      <c r="Q273" s="65"/>
      <c r="R273" s="65"/>
      <c r="S273" s="65"/>
      <c r="T273" s="65"/>
      <c r="U273" s="65"/>
      <c r="V273" s="65"/>
      <c r="W273" s="65"/>
      <c r="X273" s="65"/>
      <c r="Y273" s="65"/>
      <c r="Z273" s="65"/>
    </row>
    <row r="274" spans="1:26" ht="12.75" customHeight="1">
      <c r="A274" s="64" t="s">
        <v>1080</v>
      </c>
      <c r="B274" s="65" t="s">
        <v>707</v>
      </c>
      <c r="C274" s="65" t="s">
        <v>810</v>
      </c>
      <c r="D274" s="65" t="s">
        <v>1081</v>
      </c>
      <c r="E274" s="65" t="s">
        <v>1207</v>
      </c>
      <c r="F274" s="65" t="s">
        <v>1208</v>
      </c>
      <c r="G274" s="65" t="s">
        <v>1209</v>
      </c>
      <c r="H274" s="65" t="s">
        <v>745</v>
      </c>
      <c r="I274" s="65" t="s">
        <v>1210</v>
      </c>
      <c r="J274" s="65" t="s">
        <v>125</v>
      </c>
      <c r="K274" s="65"/>
      <c r="L274" s="65"/>
      <c r="M274" s="65"/>
      <c r="N274" s="65"/>
      <c r="O274" s="65"/>
      <c r="P274" s="65"/>
      <c r="Q274" s="65"/>
      <c r="R274" s="65"/>
      <c r="S274" s="65"/>
      <c r="T274" s="65"/>
      <c r="U274" s="65"/>
      <c r="V274" s="65"/>
      <c r="W274" s="65"/>
      <c r="X274" s="65"/>
      <c r="Y274" s="65"/>
      <c r="Z274" s="65"/>
    </row>
    <row r="275" spans="1:26" ht="12.75" customHeight="1">
      <c r="A275" s="64" t="s">
        <v>1080</v>
      </c>
      <c r="B275" s="65" t="s">
        <v>707</v>
      </c>
      <c r="C275" s="65" t="s">
        <v>810</v>
      </c>
      <c r="D275" s="65" t="s">
        <v>1081</v>
      </c>
      <c r="E275" s="65" t="s">
        <v>1211</v>
      </c>
      <c r="F275" s="65" t="s">
        <v>1212</v>
      </c>
      <c r="G275" s="65" t="s">
        <v>1209</v>
      </c>
      <c r="H275" s="65" t="s">
        <v>1213</v>
      </c>
      <c r="I275" s="65" t="s">
        <v>1214</v>
      </c>
      <c r="J275" s="65" t="s">
        <v>125</v>
      </c>
      <c r="K275" s="65"/>
      <c r="L275" s="65"/>
      <c r="M275" s="65"/>
      <c r="N275" s="65"/>
      <c r="O275" s="65"/>
      <c r="P275" s="65"/>
      <c r="Q275" s="65"/>
      <c r="R275" s="65"/>
      <c r="S275" s="65"/>
      <c r="T275" s="65"/>
      <c r="U275" s="65"/>
      <c r="V275" s="65"/>
      <c r="W275" s="65"/>
      <c r="X275" s="65"/>
      <c r="Y275" s="65"/>
      <c r="Z275" s="65"/>
    </row>
    <row r="276" spans="1:26" ht="12.75" customHeight="1">
      <c r="A276" s="64" t="s">
        <v>1080</v>
      </c>
      <c r="B276" s="65" t="s">
        <v>707</v>
      </c>
      <c r="C276" s="65" t="s">
        <v>810</v>
      </c>
      <c r="D276" s="65" t="s">
        <v>1081</v>
      </c>
      <c r="E276" s="65" t="s">
        <v>1215</v>
      </c>
      <c r="F276" s="65" t="s">
        <v>1216</v>
      </c>
      <c r="G276" s="65" t="s">
        <v>1217</v>
      </c>
      <c r="H276" s="65" t="s">
        <v>1218</v>
      </c>
      <c r="I276" s="65" t="s">
        <v>1219</v>
      </c>
      <c r="J276" s="65" t="s">
        <v>125</v>
      </c>
      <c r="K276" s="65"/>
      <c r="L276" s="65"/>
      <c r="M276" s="65"/>
      <c r="N276" s="65"/>
      <c r="O276" s="65"/>
      <c r="P276" s="65"/>
      <c r="Q276" s="65"/>
      <c r="R276" s="65"/>
      <c r="S276" s="65"/>
      <c r="T276" s="65"/>
      <c r="U276" s="65"/>
      <c r="V276" s="65"/>
      <c r="W276" s="65"/>
      <c r="X276" s="65"/>
      <c r="Y276" s="65"/>
      <c r="Z276" s="65"/>
    </row>
    <row r="277" spans="1:26" ht="12.75" customHeight="1">
      <c r="A277" s="64" t="s">
        <v>1080</v>
      </c>
      <c r="B277" s="65" t="s">
        <v>707</v>
      </c>
      <c r="C277" s="65" t="s">
        <v>810</v>
      </c>
      <c r="D277" s="65" t="s">
        <v>1081</v>
      </c>
      <c r="E277" s="65" t="s">
        <v>1220</v>
      </c>
      <c r="F277" s="65" t="s">
        <v>1221</v>
      </c>
      <c r="G277" s="65" t="s">
        <v>1217</v>
      </c>
      <c r="H277" s="65" t="s">
        <v>1222</v>
      </c>
      <c r="I277" s="65" t="s">
        <v>1223</v>
      </c>
      <c r="J277" s="65" t="s">
        <v>125</v>
      </c>
      <c r="K277" s="65"/>
      <c r="L277" s="65"/>
      <c r="M277" s="65"/>
      <c r="N277" s="65"/>
      <c r="O277" s="65"/>
      <c r="P277" s="65"/>
      <c r="Q277" s="65"/>
      <c r="R277" s="65"/>
      <c r="S277" s="65"/>
      <c r="T277" s="65"/>
      <c r="U277" s="65"/>
      <c r="V277" s="65"/>
      <c r="W277" s="65"/>
      <c r="X277" s="65"/>
      <c r="Y277" s="65"/>
      <c r="Z277" s="65"/>
    </row>
    <row r="278" spans="1:26" ht="12.75" customHeight="1">
      <c r="A278" s="64" t="s">
        <v>1080</v>
      </c>
      <c r="B278" s="65" t="s">
        <v>707</v>
      </c>
      <c r="C278" s="65" t="s">
        <v>810</v>
      </c>
      <c r="D278" s="65" t="s">
        <v>1081</v>
      </c>
      <c r="E278" s="65" t="s">
        <v>1224</v>
      </c>
      <c r="F278" s="65" t="s">
        <v>1225</v>
      </c>
      <c r="G278" s="65" t="s">
        <v>1226</v>
      </c>
      <c r="H278" s="65" t="s">
        <v>745</v>
      </c>
      <c r="I278" s="65" t="s">
        <v>1227</v>
      </c>
      <c r="J278" s="65" t="s">
        <v>125</v>
      </c>
      <c r="K278" s="65"/>
      <c r="L278" s="65"/>
      <c r="M278" s="65"/>
      <c r="N278" s="65"/>
      <c r="O278" s="65"/>
      <c r="P278" s="65"/>
      <c r="Q278" s="65"/>
      <c r="R278" s="65"/>
      <c r="S278" s="65"/>
      <c r="T278" s="65"/>
      <c r="U278" s="65"/>
      <c r="V278" s="65"/>
      <c r="W278" s="65"/>
      <c r="X278" s="65"/>
      <c r="Y278" s="65"/>
      <c r="Z278" s="65"/>
    </row>
    <row r="279" spans="1:26" ht="12.75" customHeight="1">
      <c r="A279" s="64" t="s">
        <v>1080</v>
      </c>
      <c r="B279" s="65" t="s">
        <v>707</v>
      </c>
      <c r="C279" s="65" t="s">
        <v>810</v>
      </c>
      <c r="D279" s="65" t="s">
        <v>1081</v>
      </c>
      <c r="E279" s="65" t="s">
        <v>1228</v>
      </c>
      <c r="F279" s="65" t="s">
        <v>1229</v>
      </c>
      <c r="G279" s="65" t="s">
        <v>1226</v>
      </c>
      <c r="H279" s="65" t="s">
        <v>745</v>
      </c>
      <c r="I279" s="65" t="s">
        <v>1230</v>
      </c>
      <c r="J279" s="65" t="s">
        <v>125</v>
      </c>
      <c r="K279" s="65"/>
      <c r="L279" s="65"/>
      <c r="M279" s="65"/>
      <c r="N279" s="65"/>
      <c r="O279" s="65"/>
      <c r="P279" s="65"/>
      <c r="Q279" s="65"/>
      <c r="R279" s="65"/>
      <c r="S279" s="65"/>
      <c r="T279" s="65"/>
      <c r="U279" s="65"/>
      <c r="V279" s="65"/>
      <c r="W279" s="65"/>
      <c r="X279" s="65"/>
      <c r="Y279" s="65"/>
      <c r="Z279" s="65"/>
    </row>
    <row r="280" spans="1:26" ht="12.75" customHeight="1">
      <c r="A280" s="64" t="s">
        <v>1080</v>
      </c>
      <c r="B280" s="65" t="s">
        <v>707</v>
      </c>
      <c r="C280" s="65" t="s">
        <v>810</v>
      </c>
      <c r="D280" s="65" t="s">
        <v>1081</v>
      </c>
      <c r="E280" s="65" t="s">
        <v>1231</v>
      </c>
      <c r="F280" s="65" t="s">
        <v>1232</v>
      </c>
      <c r="G280" s="65" t="s">
        <v>1226</v>
      </c>
      <c r="H280" s="65" t="s">
        <v>745</v>
      </c>
      <c r="I280" s="65" t="s">
        <v>1233</v>
      </c>
      <c r="J280" s="65" t="s">
        <v>125</v>
      </c>
      <c r="K280" s="65"/>
      <c r="L280" s="65"/>
      <c r="M280" s="65"/>
      <c r="N280" s="65"/>
      <c r="O280" s="65"/>
      <c r="P280" s="65"/>
      <c r="Q280" s="65"/>
      <c r="R280" s="65"/>
      <c r="S280" s="65"/>
      <c r="T280" s="65"/>
      <c r="U280" s="65"/>
      <c r="V280" s="65"/>
      <c r="W280" s="65"/>
      <c r="X280" s="65"/>
      <c r="Y280" s="65"/>
      <c r="Z280" s="65"/>
    </row>
    <row r="281" spans="1:26" ht="12.75" customHeight="1">
      <c r="A281" s="64" t="s">
        <v>1080</v>
      </c>
      <c r="B281" s="65" t="s">
        <v>707</v>
      </c>
      <c r="C281" s="65" t="s">
        <v>810</v>
      </c>
      <c r="D281" s="65" t="s">
        <v>1081</v>
      </c>
      <c r="E281" s="65" t="s">
        <v>1234</v>
      </c>
      <c r="F281" s="65" t="s">
        <v>1235</v>
      </c>
      <c r="G281" s="65" t="s">
        <v>1236</v>
      </c>
      <c r="H281" s="65" t="s">
        <v>745</v>
      </c>
      <c r="I281" s="65" t="s">
        <v>1237</v>
      </c>
      <c r="J281" s="65" t="s">
        <v>125</v>
      </c>
      <c r="K281" s="65"/>
      <c r="L281" s="65"/>
      <c r="M281" s="65"/>
      <c r="N281" s="65"/>
      <c r="O281" s="65"/>
      <c r="P281" s="65"/>
      <c r="Q281" s="65"/>
      <c r="R281" s="65"/>
      <c r="S281" s="65"/>
      <c r="T281" s="65"/>
      <c r="U281" s="65"/>
      <c r="V281" s="65"/>
      <c r="W281" s="65"/>
      <c r="X281" s="65"/>
      <c r="Y281" s="65"/>
      <c r="Z281" s="65"/>
    </row>
    <row r="282" spans="1:26" ht="12.75" customHeight="1">
      <c r="A282" s="64" t="s">
        <v>1080</v>
      </c>
      <c r="B282" s="65" t="s">
        <v>707</v>
      </c>
      <c r="C282" s="65" t="s">
        <v>810</v>
      </c>
      <c r="D282" s="65" t="s">
        <v>1081</v>
      </c>
      <c r="E282" s="65" t="s">
        <v>1238</v>
      </c>
      <c r="F282" s="65" t="s">
        <v>1239</v>
      </c>
      <c r="G282" s="65" t="s">
        <v>1240</v>
      </c>
      <c r="H282" s="65" t="s">
        <v>745</v>
      </c>
      <c r="I282" s="65" t="s">
        <v>1241</v>
      </c>
      <c r="J282" s="65" t="s">
        <v>125</v>
      </c>
      <c r="K282" s="65"/>
      <c r="L282" s="65"/>
      <c r="M282" s="65"/>
      <c r="N282" s="65"/>
      <c r="O282" s="65"/>
      <c r="P282" s="65"/>
      <c r="Q282" s="65"/>
      <c r="R282" s="65"/>
      <c r="S282" s="65"/>
      <c r="T282" s="65"/>
      <c r="U282" s="65"/>
      <c r="V282" s="65"/>
      <c r="W282" s="65"/>
      <c r="X282" s="65"/>
      <c r="Y282" s="65"/>
      <c r="Z282" s="65"/>
    </row>
    <row r="283" spans="1:26" ht="12.75" customHeight="1">
      <c r="A283" s="64" t="s">
        <v>1080</v>
      </c>
      <c r="B283" s="65" t="s">
        <v>707</v>
      </c>
      <c r="C283" s="65" t="s">
        <v>810</v>
      </c>
      <c r="D283" s="65" t="s">
        <v>1081</v>
      </c>
      <c r="E283" s="65" t="s">
        <v>1242</v>
      </c>
      <c r="F283" s="65" t="s">
        <v>1243</v>
      </c>
      <c r="G283" s="65" t="s">
        <v>1244</v>
      </c>
      <c r="H283" s="65" t="s">
        <v>745</v>
      </c>
      <c r="I283" s="65" t="s">
        <v>1245</v>
      </c>
      <c r="J283" s="65" t="s">
        <v>125</v>
      </c>
      <c r="K283" s="65"/>
      <c r="L283" s="65"/>
      <c r="M283" s="65"/>
      <c r="N283" s="65"/>
      <c r="O283" s="65"/>
      <c r="P283" s="65"/>
      <c r="Q283" s="65"/>
      <c r="R283" s="65"/>
      <c r="S283" s="65"/>
      <c r="T283" s="65"/>
      <c r="U283" s="65"/>
      <c r="V283" s="65"/>
      <c r="W283" s="65"/>
      <c r="X283" s="65"/>
      <c r="Y283" s="65"/>
      <c r="Z283" s="65"/>
    </row>
    <row r="284" spans="1:26" ht="12.75" customHeight="1">
      <c r="A284" s="64" t="s">
        <v>1080</v>
      </c>
      <c r="B284" s="65" t="s">
        <v>707</v>
      </c>
      <c r="C284" s="65" t="s">
        <v>810</v>
      </c>
      <c r="D284" s="65" t="s">
        <v>1081</v>
      </c>
      <c r="E284" s="65" t="s">
        <v>1242</v>
      </c>
      <c r="F284" s="65" t="s">
        <v>1243</v>
      </c>
      <c r="G284" s="65" t="s">
        <v>1246</v>
      </c>
      <c r="H284" s="65" t="s">
        <v>745</v>
      </c>
      <c r="I284" s="65" t="s">
        <v>1245</v>
      </c>
      <c r="J284" s="65" t="s">
        <v>125</v>
      </c>
      <c r="K284" s="65"/>
      <c r="L284" s="65"/>
      <c r="M284" s="65"/>
      <c r="N284" s="65"/>
      <c r="O284" s="65"/>
      <c r="P284" s="65"/>
      <c r="Q284" s="65"/>
      <c r="R284" s="65"/>
      <c r="S284" s="65"/>
      <c r="T284" s="65"/>
      <c r="U284" s="65"/>
      <c r="V284" s="65"/>
      <c r="W284" s="65"/>
      <c r="X284" s="65"/>
      <c r="Y284" s="65"/>
      <c r="Z284" s="65"/>
    </row>
    <row r="285" spans="1:26" ht="12.75" customHeight="1">
      <c r="A285" s="64" t="s">
        <v>1080</v>
      </c>
      <c r="B285" s="65" t="s">
        <v>707</v>
      </c>
      <c r="C285" s="65" t="s">
        <v>810</v>
      </c>
      <c r="D285" s="65" t="s">
        <v>1081</v>
      </c>
      <c r="E285" s="65" t="s">
        <v>1247</v>
      </c>
      <c r="F285" s="65" t="s">
        <v>1248</v>
      </c>
      <c r="G285" s="65" t="s">
        <v>1244</v>
      </c>
      <c r="H285" s="65" t="s">
        <v>745</v>
      </c>
      <c r="I285" s="65" t="s">
        <v>1249</v>
      </c>
      <c r="J285" s="65" t="s">
        <v>125</v>
      </c>
      <c r="K285" s="65"/>
      <c r="L285" s="65"/>
      <c r="M285" s="65"/>
      <c r="N285" s="65"/>
      <c r="O285" s="65"/>
      <c r="P285" s="65"/>
      <c r="Q285" s="65"/>
      <c r="R285" s="65"/>
      <c r="S285" s="65"/>
      <c r="T285" s="65"/>
      <c r="U285" s="65"/>
      <c r="V285" s="65"/>
      <c r="W285" s="65"/>
      <c r="X285" s="65"/>
      <c r="Y285" s="65"/>
      <c r="Z285" s="65"/>
    </row>
    <row r="286" spans="1:26" ht="12.75" customHeight="1">
      <c r="A286" s="64" t="s">
        <v>1080</v>
      </c>
      <c r="B286" s="65" t="s">
        <v>707</v>
      </c>
      <c r="C286" s="65" t="s">
        <v>810</v>
      </c>
      <c r="D286" s="65" t="s">
        <v>1081</v>
      </c>
      <c r="E286" s="65" t="s">
        <v>1247</v>
      </c>
      <c r="F286" s="65" t="s">
        <v>1248</v>
      </c>
      <c r="G286" s="65" t="s">
        <v>1246</v>
      </c>
      <c r="H286" s="65" t="s">
        <v>745</v>
      </c>
      <c r="I286" s="65" t="s">
        <v>1249</v>
      </c>
      <c r="J286" s="65" t="s">
        <v>125</v>
      </c>
      <c r="K286" s="65"/>
      <c r="L286" s="65"/>
      <c r="M286" s="65"/>
      <c r="N286" s="65"/>
      <c r="O286" s="65"/>
      <c r="P286" s="65"/>
      <c r="Q286" s="65"/>
      <c r="R286" s="65"/>
      <c r="S286" s="65"/>
      <c r="T286" s="65"/>
      <c r="U286" s="65"/>
      <c r="V286" s="65"/>
      <c r="W286" s="65"/>
      <c r="X286" s="65"/>
      <c r="Y286" s="65"/>
      <c r="Z286" s="65"/>
    </row>
    <row r="287" spans="1:26" ht="12.75" customHeight="1">
      <c r="A287" s="64" t="s">
        <v>1080</v>
      </c>
      <c r="B287" s="65" t="s">
        <v>707</v>
      </c>
      <c r="C287" s="65" t="s">
        <v>810</v>
      </c>
      <c r="D287" s="65" t="s">
        <v>1081</v>
      </c>
      <c r="E287" s="65" t="s">
        <v>1250</v>
      </c>
      <c r="F287" s="65" t="s">
        <v>1251</v>
      </c>
      <c r="G287" s="65" t="s">
        <v>1244</v>
      </c>
      <c r="H287" s="65" t="s">
        <v>1252</v>
      </c>
      <c r="I287" s="65" t="s">
        <v>1253</v>
      </c>
      <c r="J287" s="65" t="s">
        <v>125</v>
      </c>
      <c r="K287" s="65"/>
      <c r="L287" s="65"/>
      <c r="M287" s="65"/>
      <c r="N287" s="65"/>
      <c r="O287" s="65"/>
      <c r="P287" s="65"/>
      <c r="Q287" s="65"/>
      <c r="R287" s="65"/>
      <c r="S287" s="65"/>
      <c r="T287" s="65"/>
      <c r="U287" s="65"/>
      <c r="V287" s="65"/>
      <c r="W287" s="65"/>
      <c r="X287" s="65"/>
      <c r="Y287" s="65"/>
      <c r="Z287" s="65"/>
    </row>
    <row r="288" spans="1:26" ht="12.75" customHeight="1">
      <c r="A288" s="64" t="s">
        <v>1080</v>
      </c>
      <c r="B288" s="65" t="s">
        <v>707</v>
      </c>
      <c r="C288" s="65" t="s">
        <v>810</v>
      </c>
      <c r="D288" s="65" t="s">
        <v>1081</v>
      </c>
      <c r="E288" s="65" t="s">
        <v>1250</v>
      </c>
      <c r="F288" s="65" t="s">
        <v>1251</v>
      </c>
      <c r="G288" s="65" t="s">
        <v>1246</v>
      </c>
      <c r="H288" s="65" t="s">
        <v>1254</v>
      </c>
      <c r="I288" s="65" t="s">
        <v>1253</v>
      </c>
      <c r="J288" s="65" t="s">
        <v>125</v>
      </c>
      <c r="K288" s="65"/>
      <c r="L288" s="65"/>
      <c r="M288" s="65"/>
      <c r="N288" s="65"/>
      <c r="O288" s="65"/>
      <c r="P288" s="65"/>
      <c r="Q288" s="65"/>
      <c r="R288" s="65"/>
      <c r="S288" s="65"/>
      <c r="T288" s="65"/>
      <c r="U288" s="65"/>
      <c r="V288" s="65"/>
      <c r="W288" s="65"/>
      <c r="X288" s="65"/>
      <c r="Y288" s="65"/>
      <c r="Z288" s="65"/>
    </row>
    <row r="289" spans="1:26" ht="12.75" customHeight="1">
      <c r="A289" s="64" t="s">
        <v>1080</v>
      </c>
      <c r="B289" s="65" t="s">
        <v>707</v>
      </c>
      <c r="C289" s="65" t="s">
        <v>810</v>
      </c>
      <c r="D289" s="65" t="s">
        <v>1081</v>
      </c>
      <c r="E289" s="65" t="s">
        <v>1255</v>
      </c>
      <c r="F289" s="65" t="s">
        <v>1256</v>
      </c>
      <c r="G289" s="65" t="s">
        <v>1244</v>
      </c>
      <c r="H289" s="65" t="s">
        <v>1257</v>
      </c>
      <c r="I289" s="65" t="s">
        <v>1258</v>
      </c>
      <c r="J289" s="65" t="s">
        <v>125</v>
      </c>
      <c r="K289" s="65"/>
      <c r="L289" s="65"/>
      <c r="M289" s="65"/>
      <c r="N289" s="65"/>
      <c r="O289" s="65"/>
      <c r="P289" s="65"/>
      <c r="Q289" s="65"/>
      <c r="R289" s="65"/>
      <c r="S289" s="65"/>
      <c r="T289" s="65"/>
      <c r="U289" s="65"/>
      <c r="V289" s="65"/>
      <c r="W289" s="65"/>
      <c r="X289" s="65"/>
      <c r="Y289" s="65"/>
      <c r="Z289" s="65"/>
    </row>
    <row r="290" spans="1:26" ht="12.75" customHeight="1">
      <c r="A290" s="64" t="s">
        <v>1080</v>
      </c>
      <c r="B290" s="65" t="s">
        <v>707</v>
      </c>
      <c r="C290" s="65" t="s">
        <v>810</v>
      </c>
      <c r="D290" s="65" t="s">
        <v>1081</v>
      </c>
      <c r="E290" s="65" t="s">
        <v>1255</v>
      </c>
      <c r="F290" s="65" t="s">
        <v>1256</v>
      </c>
      <c r="G290" s="65" t="s">
        <v>1246</v>
      </c>
      <c r="H290" s="65" t="s">
        <v>1257</v>
      </c>
      <c r="I290" s="65" t="s">
        <v>1258</v>
      </c>
      <c r="J290" s="65" t="s">
        <v>125</v>
      </c>
      <c r="K290" s="65"/>
      <c r="L290" s="65"/>
      <c r="M290" s="65"/>
      <c r="N290" s="65"/>
      <c r="O290" s="65"/>
      <c r="P290" s="65"/>
      <c r="Q290" s="65"/>
      <c r="R290" s="65"/>
      <c r="S290" s="65"/>
      <c r="T290" s="65"/>
      <c r="U290" s="65"/>
      <c r="V290" s="65"/>
      <c r="W290" s="65"/>
      <c r="X290" s="65"/>
      <c r="Y290" s="65"/>
      <c r="Z290" s="65"/>
    </row>
    <row r="291" spans="1:26" ht="12.75" customHeight="1">
      <c r="A291" s="64" t="s">
        <v>1080</v>
      </c>
      <c r="B291" s="65" t="s">
        <v>707</v>
      </c>
      <c r="C291" s="65" t="s">
        <v>810</v>
      </c>
      <c r="D291" s="65" t="s">
        <v>1081</v>
      </c>
      <c r="E291" s="65" t="s">
        <v>1259</v>
      </c>
      <c r="F291" s="65" t="s">
        <v>1260</v>
      </c>
      <c r="G291" s="65" t="s">
        <v>1261</v>
      </c>
      <c r="H291" s="65" t="s">
        <v>1262</v>
      </c>
      <c r="I291" s="65" t="s">
        <v>1263</v>
      </c>
      <c r="J291" s="65" t="s">
        <v>125</v>
      </c>
      <c r="K291" s="65"/>
      <c r="L291" s="65"/>
      <c r="M291" s="65"/>
      <c r="N291" s="65"/>
      <c r="O291" s="65"/>
      <c r="P291" s="65"/>
      <c r="Q291" s="65"/>
      <c r="R291" s="65"/>
      <c r="S291" s="65"/>
      <c r="T291" s="65"/>
      <c r="U291" s="65"/>
      <c r="V291" s="65"/>
      <c r="W291" s="65"/>
      <c r="X291" s="65"/>
      <c r="Y291" s="65"/>
      <c r="Z291" s="65"/>
    </row>
    <row r="292" spans="1:26" ht="12.75" customHeight="1">
      <c r="A292" s="64" t="s">
        <v>1080</v>
      </c>
      <c r="B292" s="65" t="s">
        <v>707</v>
      </c>
      <c r="C292" s="65" t="s">
        <v>810</v>
      </c>
      <c r="D292" s="65" t="s">
        <v>1081</v>
      </c>
      <c r="E292" s="65" t="s">
        <v>1264</v>
      </c>
      <c r="F292" s="65" t="s">
        <v>1265</v>
      </c>
      <c r="G292" s="65" t="s">
        <v>758</v>
      </c>
      <c r="H292" s="65" t="s">
        <v>1266</v>
      </c>
      <c r="I292" s="65" t="s">
        <v>1267</v>
      </c>
      <c r="J292" s="65" t="s">
        <v>125</v>
      </c>
      <c r="K292" s="65"/>
      <c r="L292" s="65"/>
      <c r="M292" s="65"/>
      <c r="N292" s="65"/>
      <c r="O292" s="65"/>
      <c r="P292" s="65"/>
      <c r="Q292" s="65"/>
      <c r="R292" s="65"/>
      <c r="S292" s="65"/>
      <c r="T292" s="65"/>
      <c r="U292" s="65"/>
      <c r="V292" s="65"/>
      <c r="W292" s="65"/>
      <c r="X292" s="65"/>
      <c r="Y292" s="65"/>
      <c r="Z292" s="65"/>
    </row>
    <row r="293" spans="1:26" ht="12.75" customHeight="1">
      <c r="A293" s="64" t="s">
        <v>1080</v>
      </c>
      <c r="B293" s="65" t="s">
        <v>707</v>
      </c>
      <c r="C293" s="65" t="s">
        <v>810</v>
      </c>
      <c r="D293" s="65" t="s">
        <v>1081</v>
      </c>
      <c r="E293" s="65" t="s">
        <v>1268</v>
      </c>
      <c r="F293" s="65" t="s">
        <v>1269</v>
      </c>
      <c r="G293" s="65" t="s">
        <v>758</v>
      </c>
      <c r="H293" s="65" t="s">
        <v>759</v>
      </c>
      <c r="I293" s="65" t="s">
        <v>1270</v>
      </c>
      <c r="J293" s="65" t="s">
        <v>125</v>
      </c>
      <c r="K293" s="65"/>
      <c r="L293" s="65"/>
      <c r="M293" s="65"/>
      <c r="N293" s="65"/>
      <c r="O293" s="65"/>
      <c r="P293" s="65"/>
      <c r="Q293" s="65"/>
      <c r="R293" s="65"/>
      <c r="S293" s="65"/>
      <c r="T293" s="65"/>
      <c r="U293" s="65"/>
      <c r="V293" s="65"/>
      <c r="W293" s="65"/>
      <c r="X293" s="65"/>
      <c r="Y293" s="65"/>
      <c r="Z293" s="65"/>
    </row>
    <row r="294" spans="1:26" ht="12.75" customHeight="1">
      <c r="A294" s="64" t="s">
        <v>1080</v>
      </c>
      <c r="B294" s="65" t="s">
        <v>707</v>
      </c>
      <c r="C294" s="65" t="s">
        <v>810</v>
      </c>
      <c r="D294" s="65" t="s">
        <v>1081</v>
      </c>
      <c r="E294" s="65" t="s">
        <v>1271</v>
      </c>
      <c r="F294" s="65" t="s">
        <v>1272</v>
      </c>
      <c r="G294" s="65" t="s">
        <v>758</v>
      </c>
      <c r="H294" s="65" t="s">
        <v>1273</v>
      </c>
      <c r="I294" s="65" t="s">
        <v>1274</v>
      </c>
      <c r="J294" s="65" t="s">
        <v>125</v>
      </c>
      <c r="K294" s="65"/>
      <c r="L294" s="65"/>
      <c r="M294" s="65"/>
      <c r="N294" s="65"/>
      <c r="O294" s="65"/>
      <c r="P294" s="65"/>
      <c r="Q294" s="65"/>
      <c r="R294" s="65"/>
      <c r="S294" s="65"/>
      <c r="T294" s="65"/>
      <c r="U294" s="65"/>
      <c r="V294" s="65"/>
      <c r="W294" s="65"/>
      <c r="X294" s="65"/>
      <c r="Y294" s="65"/>
      <c r="Z294" s="65"/>
    </row>
    <row r="295" spans="1:26" ht="12.75" customHeight="1">
      <c r="A295" s="64" t="s">
        <v>1080</v>
      </c>
      <c r="B295" s="65" t="s">
        <v>707</v>
      </c>
      <c r="C295" s="65" t="s">
        <v>810</v>
      </c>
      <c r="D295" s="65" t="s">
        <v>1081</v>
      </c>
      <c r="E295" s="65" t="s">
        <v>1275</v>
      </c>
      <c r="F295" s="65" t="s">
        <v>1276</v>
      </c>
      <c r="G295" s="65" t="s">
        <v>758</v>
      </c>
      <c r="H295" s="65" t="s">
        <v>1277</v>
      </c>
      <c r="I295" s="65" t="s">
        <v>1278</v>
      </c>
      <c r="J295" s="65" t="s">
        <v>125</v>
      </c>
      <c r="K295" s="65"/>
      <c r="L295" s="65"/>
      <c r="M295" s="65"/>
      <c r="N295" s="65"/>
      <c r="O295" s="65"/>
      <c r="P295" s="65"/>
      <c r="Q295" s="65"/>
      <c r="R295" s="65"/>
      <c r="S295" s="65"/>
      <c r="T295" s="65"/>
      <c r="U295" s="65"/>
      <c r="V295" s="65"/>
      <c r="W295" s="65"/>
      <c r="X295" s="65"/>
      <c r="Y295" s="65"/>
      <c r="Z295" s="65"/>
    </row>
    <row r="296" spans="1:26" ht="12.75" customHeight="1">
      <c r="A296" s="64" t="s">
        <v>1080</v>
      </c>
      <c r="B296" s="65" t="s">
        <v>707</v>
      </c>
      <c r="C296" s="65" t="s">
        <v>810</v>
      </c>
      <c r="D296" s="65" t="s">
        <v>1081</v>
      </c>
      <c r="E296" s="65" t="s">
        <v>1279</v>
      </c>
      <c r="F296" s="65" t="s">
        <v>1280</v>
      </c>
      <c r="G296" s="65" t="s">
        <v>758</v>
      </c>
      <c r="H296" s="65" t="s">
        <v>1281</v>
      </c>
      <c r="I296" s="65" t="s">
        <v>1282</v>
      </c>
      <c r="J296" s="65" t="s">
        <v>125</v>
      </c>
      <c r="K296" s="65"/>
      <c r="L296" s="65"/>
      <c r="M296" s="65"/>
      <c r="N296" s="65"/>
      <c r="O296" s="65"/>
      <c r="P296" s="65"/>
      <c r="Q296" s="65"/>
      <c r="R296" s="65"/>
      <c r="S296" s="65"/>
      <c r="T296" s="65"/>
      <c r="U296" s="65"/>
      <c r="V296" s="65"/>
      <c r="W296" s="65"/>
      <c r="X296" s="65"/>
      <c r="Y296" s="65"/>
      <c r="Z296" s="65"/>
    </row>
    <row r="297" spans="1:26" ht="12.75" customHeight="1">
      <c r="A297" s="64" t="s">
        <v>1080</v>
      </c>
      <c r="B297" s="65" t="s">
        <v>707</v>
      </c>
      <c r="C297" s="65" t="s">
        <v>810</v>
      </c>
      <c r="D297" s="65" t="s">
        <v>1081</v>
      </c>
      <c r="E297" s="65" t="s">
        <v>1283</v>
      </c>
      <c r="F297" s="65" t="s">
        <v>1284</v>
      </c>
      <c r="G297" s="65" t="s">
        <v>758</v>
      </c>
      <c r="H297" s="65" t="s">
        <v>1285</v>
      </c>
      <c r="I297" s="65" t="s">
        <v>1286</v>
      </c>
      <c r="J297" s="65" t="s">
        <v>125</v>
      </c>
      <c r="K297" s="65"/>
      <c r="L297" s="65"/>
      <c r="M297" s="65"/>
      <c r="N297" s="65"/>
      <c r="O297" s="65"/>
      <c r="P297" s="65"/>
      <c r="Q297" s="65"/>
      <c r="R297" s="65"/>
      <c r="S297" s="65"/>
      <c r="T297" s="65"/>
      <c r="U297" s="65"/>
      <c r="V297" s="65"/>
      <c r="W297" s="65"/>
      <c r="X297" s="65"/>
      <c r="Y297" s="65"/>
      <c r="Z297" s="65"/>
    </row>
    <row r="298" spans="1:26" ht="12.75" customHeight="1">
      <c r="A298" s="64" t="s">
        <v>1080</v>
      </c>
      <c r="B298" s="65" t="s">
        <v>707</v>
      </c>
      <c r="C298" s="65" t="s">
        <v>810</v>
      </c>
      <c r="D298" s="65" t="s">
        <v>1081</v>
      </c>
      <c r="E298" s="65" t="s">
        <v>1287</v>
      </c>
      <c r="F298" s="65"/>
      <c r="G298" s="65" t="s">
        <v>758</v>
      </c>
      <c r="H298" s="65" t="s">
        <v>1288</v>
      </c>
      <c r="I298" s="65" t="s">
        <v>1289</v>
      </c>
      <c r="J298" s="65" t="s">
        <v>125</v>
      </c>
      <c r="K298" s="65"/>
      <c r="L298" s="65"/>
      <c r="M298" s="65"/>
      <c r="N298" s="65"/>
      <c r="O298" s="65"/>
      <c r="P298" s="65"/>
      <c r="Q298" s="65"/>
      <c r="R298" s="65"/>
      <c r="S298" s="65"/>
      <c r="T298" s="65"/>
      <c r="U298" s="65"/>
      <c r="V298" s="65"/>
      <c r="W298" s="65"/>
      <c r="X298" s="65"/>
      <c r="Y298" s="65"/>
      <c r="Z298" s="65"/>
    </row>
    <row r="299" spans="1:26" ht="12.75" customHeight="1">
      <c r="A299" s="64" t="s">
        <v>1080</v>
      </c>
      <c r="B299" s="65" t="s">
        <v>707</v>
      </c>
      <c r="C299" s="65" t="s">
        <v>810</v>
      </c>
      <c r="D299" s="65" t="s">
        <v>1081</v>
      </c>
      <c r="E299" s="65" t="s">
        <v>1290</v>
      </c>
      <c r="F299" s="65" t="s">
        <v>1291</v>
      </c>
      <c r="G299" s="65" t="s">
        <v>758</v>
      </c>
      <c r="H299" s="65" t="s">
        <v>1292</v>
      </c>
      <c r="I299" s="65" t="s">
        <v>1293</v>
      </c>
      <c r="J299" s="65" t="s">
        <v>125</v>
      </c>
      <c r="K299" s="65"/>
      <c r="L299" s="65"/>
      <c r="M299" s="65"/>
      <c r="N299" s="65"/>
      <c r="O299" s="65"/>
      <c r="P299" s="65"/>
      <c r="Q299" s="65"/>
      <c r="R299" s="65"/>
      <c r="S299" s="65"/>
      <c r="T299" s="65"/>
      <c r="U299" s="65"/>
      <c r="V299" s="65"/>
      <c r="W299" s="65"/>
      <c r="X299" s="65"/>
      <c r="Y299" s="65"/>
      <c r="Z299" s="65"/>
    </row>
    <row r="300" spans="1:26" ht="12.75" customHeight="1">
      <c r="A300" s="64" t="s">
        <v>1080</v>
      </c>
      <c r="B300" s="65" t="s">
        <v>707</v>
      </c>
      <c r="C300" s="65" t="s">
        <v>810</v>
      </c>
      <c r="D300" s="65" t="s">
        <v>1081</v>
      </c>
      <c r="E300" s="65" t="s">
        <v>1294</v>
      </c>
      <c r="F300" s="65" t="s">
        <v>1295</v>
      </c>
      <c r="G300" s="65" t="s">
        <v>758</v>
      </c>
      <c r="H300" s="65" t="s">
        <v>1296</v>
      </c>
      <c r="I300" s="65" t="s">
        <v>1297</v>
      </c>
      <c r="J300" s="65" t="s">
        <v>125</v>
      </c>
      <c r="K300" s="65"/>
      <c r="L300" s="65"/>
      <c r="M300" s="65"/>
      <c r="N300" s="65"/>
      <c r="O300" s="65"/>
      <c r="P300" s="65"/>
      <c r="Q300" s="65"/>
      <c r="R300" s="65"/>
      <c r="S300" s="65"/>
      <c r="T300" s="65"/>
      <c r="U300" s="65"/>
      <c r="V300" s="65"/>
      <c r="W300" s="65"/>
      <c r="X300" s="65"/>
      <c r="Y300" s="65"/>
      <c r="Z300" s="65"/>
    </row>
    <row r="301" spans="1:26" ht="12.75" customHeight="1">
      <c r="A301" s="64" t="s">
        <v>1080</v>
      </c>
      <c r="B301" s="65" t="s">
        <v>707</v>
      </c>
      <c r="C301" s="65" t="s">
        <v>810</v>
      </c>
      <c r="D301" s="65" t="s">
        <v>1081</v>
      </c>
      <c r="E301" s="65" t="s">
        <v>1298</v>
      </c>
      <c r="F301" s="65" t="s">
        <v>1299</v>
      </c>
      <c r="G301" s="65" t="s">
        <v>758</v>
      </c>
      <c r="H301" s="65" t="s">
        <v>1300</v>
      </c>
      <c r="I301" s="65" t="s">
        <v>1301</v>
      </c>
      <c r="J301" s="65" t="s">
        <v>125</v>
      </c>
      <c r="K301" s="65"/>
      <c r="L301" s="65"/>
      <c r="M301" s="65"/>
      <c r="N301" s="65"/>
      <c r="O301" s="65"/>
      <c r="P301" s="65"/>
      <c r="Q301" s="65"/>
      <c r="R301" s="65"/>
      <c r="S301" s="65"/>
      <c r="T301" s="65"/>
      <c r="U301" s="65"/>
      <c r="V301" s="65"/>
      <c r="W301" s="65"/>
      <c r="X301" s="65"/>
      <c r="Y301" s="65"/>
      <c r="Z301" s="65"/>
    </row>
    <row r="302" spans="1:26" ht="12.75" customHeight="1">
      <c r="A302" s="64" t="s">
        <v>1080</v>
      </c>
      <c r="B302" s="65" t="s">
        <v>707</v>
      </c>
      <c r="C302" s="65" t="s">
        <v>810</v>
      </c>
      <c r="D302" s="65" t="s">
        <v>1081</v>
      </c>
      <c r="E302" s="65" t="s">
        <v>1302</v>
      </c>
      <c r="F302" s="65" t="s">
        <v>1303</v>
      </c>
      <c r="G302" s="65" t="s">
        <v>758</v>
      </c>
      <c r="H302" s="65" t="s">
        <v>1304</v>
      </c>
      <c r="I302" s="65" t="s">
        <v>1305</v>
      </c>
      <c r="J302" s="65" t="s">
        <v>125</v>
      </c>
      <c r="K302" s="65"/>
      <c r="L302" s="65"/>
      <c r="M302" s="65"/>
      <c r="N302" s="65"/>
      <c r="O302" s="65"/>
      <c r="P302" s="65"/>
      <c r="Q302" s="65"/>
      <c r="R302" s="65"/>
      <c r="S302" s="65"/>
      <c r="T302" s="65"/>
      <c r="U302" s="65"/>
      <c r="V302" s="65"/>
      <c r="W302" s="65"/>
      <c r="X302" s="65"/>
      <c r="Y302" s="65"/>
      <c r="Z302" s="65"/>
    </row>
    <row r="303" spans="1:26" ht="12.75" customHeight="1">
      <c r="A303" s="64" t="s">
        <v>1080</v>
      </c>
      <c r="B303" s="65" t="s">
        <v>707</v>
      </c>
      <c r="C303" s="65" t="s">
        <v>810</v>
      </c>
      <c r="D303" s="65" t="s">
        <v>1081</v>
      </c>
      <c r="E303" s="65" t="s">
        <v>1306</v>
      </c>
      <c r="F303" s="65" t="s">
        <v>1307</v>
      </c>
      <c r="G303" s="65" t="s">
        <v>728</v>
      </c>
      <c r="H303" s="65" t="s">
        <v>1308</v>
      </c>
      <c r="I303" s="65" t="s">
        <v>1309</v>
      </c>
      <c r="J303" s="65" t="s">
        <v>125</v>
      </c>
      <c r="K303" s="65"/>
      <c r="L303" s="65"/>
      <c r="M303" s="65"/>
      <c r="N303" s="65"/>
      <c r="O303" s="65"/>
      <c r="P303" s="65"/>
      <c r="Q303" s="65"/>
      <c r="R303" s="65"/>
      <c r="S303" s="65"/>
      <c r="T303" s="65"/>
      <c r="U303" s="65"/>
      <c r="V303" s="65"/>
      <c r="W303" s="65"/>
      <c r="X303" s="65"/>
      <c r="Y303" s="65"/>
      <c r="Z303" s="65"/>
    </row>
    <row r="304" spans="1:26" ht="12.75" customHeight="1">
      <c r="A304" s="64" t="s">
        <v>1080</v>
      </c>
      <c r="B304" s="65" t="s">
        <v>707</v>
      </c>
      <c r="C304" s="65" t="s">
        <v>810</v>
      </c>
      <c r="D304" s="65" t="s">
        <v>1081</v>
      </c>
      <c r="E304" s="65" t="s">
        <v>1310</v>
      </c>
      <c r="F304" s="65" t="s">
        <v>1311</v>
      </c>
      <c r="G304" s="65" t="s">
        <v>728</v>
      </c>
      <c r="H304" s="65" t="s">
        <v>1312</v>
      </c>
      <c r="I304" s="65" t="s">
        <v>1313</v>
      </c>
      <c r="J304" s="65" t="s">
        <v>125</v>
      </c>
      <c r="K304" s="65"/>
      <c r="L304" s="65"/>
      <c r="M304" s="65"/>
      <c r="N304" s="65"/>
      <c r="O304" s="65"/>
      <c r="P304" s="65"/>
      <c r="Q304" s="65"/>
      <c r="R304" s="65"/>
      <c r="S304" s="65"/>
      <c r="T304" s="65"/>
      <c r="U304" s="65"/>
      <c r="V304" s="65"/>
      <c r="W304" s="65"/>
      <c r="X304" s="65"/>
      <c r="Y304" s="65"/>
      <c r="Z304" s="65"/>
    </row>
    <row r="305" spans="1:26" ht="12.75" customHeight="1">
      <c r="A305" s="64" t="s">
        <v>1080</v>
      </c>
      <c r="B305" s="65" t="s">
        <v>707</v>
      </c>
      <c r="C305" s="65" t="s">
        <v>810</v>
      </c>
      <c r="D305" s="65" t="s">
        <v>1081</v>
      </c>
      <c r="E305" s="65" t="s">
        <v>1314</v>
      </c>
      <c r="F305" s="65" t="s">
        <v>1315</v>
      </c>
      <c r="G305" s="65" t="s">
        <v>728</v>
      </c>
      <c r="H305" s="65" t="s">
        <v>1316</v>
      </c>
      <c r="I305" s="65" t="s">
        <v>1317</v>
      </c>
      <c r="J305" s="65" t="s">
        <v>125</v>
      </c>
      <c r="K305" s="65"/>
      <c r="L305" s="65"/>
      <c r="M305" s="65"/>
      <c r="N305" s="65"/>
      <c r="O305" s="65"/>
      <c r="P305" s="65"/>
      <c r="Q305" s="65"/>
      <c r="R305" s="65"/>
      <c r="S305" s="65"/>
      <c r="T305" s="65"/>
      <c r="U305" s="65"/>
      <c r="V305" s="65"/>
      <c r="W305" s="65"/>
      <c r="X305" s="65"/>
      <c r="Y305" s="65"/>
      <c r="Z305" s="65"/>
    </row>
    <row r="306" spans="1:26" ht="12.75" customHeight="1">
      <c r="A306" s="64" t="s">
        <v>1080</v>
      </c>
      <c r="B306" s="65" t="s">
        <v>707</v>
      </c>
      <c r="C306" s="65" t="s">
        <v>810</v>
      </c>
      <c r="D306" s="65" t="s">
        <v>1081</v>
      </c>
      <c r="E306" s="65" t="s">
        <v>1318</v>
      </c>
      <c r="F306" s="65" t="s">
        <v>1319</v>
      </c>
      <c r="G306" s="65" t="s">
        <v>728</v>
      </c>
      <c r="H306" s="65" t="s">
        <v>1320</v>
      </c>
      <c r="I306" s="65" t="s">
        <v>1321</v>
      </c>
      <c r="J306" s="65" t="s">
        <v>125</v>
      </c>
      <c r="K306" s="65"/>
      <c r="L306" s="65"/>
      <c r="M306" s="65"/>
      <c r="N306" s="65"/>
      <c r="O306" s="65"/>
      <c r="P306" s="65"/>
      <c r="Q306" s="65"/>
      <c r="R306" s="65"/>
      <c r="S306" s="65"/>
      <c r="T306" s="65"/>
      <c r="U306" s="65"/>
      <c r="V306" s="65"/>
      <c r="W306" s="65"/>
      <c r="X306" s="65"/>
      <c r="Y306" s="65"/>
      <c r="Z306" s="65"/>
    </row>
    <row r="307" spans="1:26" ht="12.75" customHeight="1">
      <c r="A307" s="64" t="s">
        <v>1080</v>
      </c>
      <c r="B307" s="65" t="s">
        <v>707</v>
      </c>
      <c r="C307" s="65" t="s">
        <v>810</v>
      </c>
      <c r="D307" s="65" t="s">
        <v>1081</v>
      </c>
      <c r="E307" s="65" t="s">
        <v>1322</v>
      </c>
      <c r="F307" s="65"/>
      <c r="G307" s="65" t="s">
        <v>1014</v>
      </c>
      <c r="H307" s="65" t="s">
        <v>745</v>
      </c>
      <c r="I307" s="65" t="s">
        <v>1323</v>
      </c>
      <c r="J307" s="65" t="s">
        <v>125</v>
      </c>
      <c r="K307" s="65"/>
      <c r="L307" s="65"/>
      <c r="M307" s="65"/>
      <c r="N307" s="65"/>
      <c r="O307" s="65"/>
      <c r="P307" s="65"/>
      <c r="Q307" s="65"/>
      <c r="R307" s="65"/>
      <c r="S307" s="65"/>
      <c r="T307" s="65"/>
      <c r="U307" s="65"/>
      <c r="V307" s="65"/>
      <c r="W307" s="65"/>
      <c r="X307" s="65"/>
      <c r="Y307" s="65"/>
      <c r="Z307" s="65"/>
    </row>
    <row r="308" spans="1:26" ht="12.75" customHeight="1">
      <c r="A308" s="64" t="s">
        <v>1080</v>
      </c>
      <c r="B308" s="65" t="s">
        <v>707</v>
      </c>
      <c r="C308" s="65" t="s">
        <v>810</v>
      </c>
      <c r="D308" s="65" t="s">
        <v>1081</v>
      </c>
      <c r="E308" s="65" t="s">
        <v>1322</v>
      </c>
      <c r="F308" s="65"/>
      <c r="G308" s="65" t="s">
        <v>1240</v>
      </c>
      <c r="H308" s="65" t="s">
        <v>745</v>
      </c>
      <c r="I308" s="65" t="s">
        <v>1323</v>
      </c>
      <c r="J308" s="65" t="s">
        <v>125</v>
      </c>
      <c r="K308" s="65"/>
      <c r="L308" s="65"/>
      <c r="M308" s="65"/>
      <c r="N308" s="65"/>
      <c r="O308" s="65"/>
      <c r="P308" s="65"/>
      <c r="Q308" s="65"/>
      <c r="R308" s="65"/>
      <c r="S308" s="65"/>
      <c r="T308" s="65"/>
      <c r="U308" s="65"/>
      <c r="V308" s="65"/>
      <c r="W308" s="65"/>
      <c r="X308" s="65"/>
      <c r="Y308" s="65"/>
      <c r="Z308" s="65"/>
    </row>
    <row r="309" spans="1:26" ht="12.75" customHeight="1">
      <c r="A309" s="64" t="s">
        <v>1080</v>
      </c>
      <c r="B309" s="65" t="s">
        <v>707</v>
      </c>
      <c r="C309" s="65" t="s">
        <v>810</v>
      </c>
      <c r="D309" s="65" t="s">
        <v>1081</v>
      </c>
      <c r="E309" s="65" t="s">
        <v>1322</v>
      </c>
      <c r="F309" s="65"/>
      <c r="G309" s="65" t="s">
        <v>1261</v>
      </c>
      <c r="H309" s="65" t="s">
        <v>1324</v>
      </c>
      <c r="I309" s="65" t="s">
        <v>1323</v>
      </c>
      <c r="J309" s="65" t="s">
        <v>125</v>
      </c>
      <c r="K309" s="65"/>
      <c r="L309" s="65"/>
      <c r="M309" s="65"/>
      <c r="N309" s="65"/>
      <c r="O309" s="65"/>
      <c r="P309" s="65"/>
      <c r="Q309" s="65"/>
      <c r="R309" s="65"/>
      <c r="S309" s="65"/>
      <c r="T309" s="65"/>
      <c r="U309" s="65"/>
      <c r="V309" s="65"/>
      <c r="W309" s="65"/>
      <c r="X309" s="65"/>
      <c r="Y309" s="65"/>
      <c r="Z309" s="65"/>
    </row>
    <row r="310" spans="1:26" ht="12.75" customHeight="1">
      <c r="A310" s="64" t="s">
        <v>1080</v>
      </c>
      <c r="B310" s="65" t="s">
        <v>707</v>
      </c>
      <c r="C310" s="65" t="s">
        <v>810</v>
      </c>
      <c r="D310" s="65" t="s">
        <v>1081</v>
      </c>
      <c r="E310" s="65" t="s">
        <v>1325</v>
      </c>
      <c r="F310" s="65" t="s">
        <v>1326</v>
      </c>
      <c r="G310" s="65" t="s">
        <v>1096</v>
      </c>
      <c r="H310" s="65" t="s">
        <v>1151</v>
      </c>
      <c r="I310" s="65" t="s">
        <v>1327</v>
      </c>
      <c r="J310" s="65" t="s">
        <v>125</v>
      </c>
      <c r="K310" s="65"/>
      <c r="L310" s="65"/>
      <c r="M310" s="65"/>
      <c r="N310" s="65"/>
      <c r="O310" s="65"/>
      <c r="P310" s="65"/>
      <c r="Q310" s="65"/>
      <c r="R310" s="65"/>
      <c r="S310" s="65"/>
      <c r="T310" s="65"/>
      <c r="U310" s="65"/>
      <c r="V310" s="65"/>
      <c r="W310" s="65"/>
      <c r="X310" s="65"/>
      <c r="Y310" s="65"/>
      <c r="Z310" s="65"/>
    </row>
    <row r="311" spans="1:26" ht="12.75" customHeight="1">
      <c r="A311" s="64" t="s">
        <v>1080</v>
      </c>
      <c r="B311" s="65" t="s">
        <v>707</v>
      </c>
      <c r="C311" s="65" t="s">
        <v>810</v>
      </c>
      <c r="D311" s="65" t="s">
        <v>1081</v>
      </c>
      <c r="E311" s="65" t="s">
        <v>1328</v>
      </c>
      <c r="F311" s="65" t="s">
        <v>1329</v>
      </c>
      <c r="G311" s="65" t="s">
        <v>1096</v>
      </c>
      <c r="H311" s="65" t="s">
        <v>1151</v>
      </c>
      <c r="I311" s="65" t="s">
        <v>1330</v>
      </c>
      <c r="J311" s="65" t="s">
        <v>125</v>
      </c>
      <c r="K311" s="65"/>
      <c r="L311" s="65"/>
      <c r="M311" s="65"/>
      <c r="N311" s="65"/>
      <c r="O311" s="65"/>
      <c r="P311" s="65"/>
      <c r="Q311" s="65"/>
      <c r="R311" s="65"/>
      <c r="S311" s="65"/>
      <c r="T311" s="65"/>
      <c r="U311" s="65"/>
      <c r="V311" s="65"/>
      <c r="W311" s="65"/>
      <c r="X311" s="65"/>
      <c r="Y311" s="65"/>
      <c r="Z311" s="65"/>
    </row>
    <row r="312" spans="1:26" ht="12.75" customHeight="1">
      <c r="A312" s="64" t="s">
        <v>1080</v>
      </c>
      <c r="B312" s="65" t="s">
        <v>707</v>
      </c>
      <c r="C312" s="65" t="s">
        <v>810</v>
      </c>
      <c r="D312" s="65" t="s">
        <v>1081</v>
      </c>
      <c r="E312" s="65" t="s">
        <v>1331</v>
      </c>
      <c r="F312" s="65" t="s">
        <v>1332</v>
      </c>
      <c r="G312" s="65" t="s">
        <v>1014</v>
      </c>
      <c r="H312" s="65" t="s">
        <v>745</v>
      </c>
      <c r="I312" s="65" t="s">
        <v>1333</v>
      </c>
      <c r="J312" s="65" t="s">
        <v>125</v>
      </c>
      <c r="K312" s="65"/>
      <c r="L312" s="65"/>
      <c r="M312" s="65"/>
      <c r="N312" s="65"/>
      <c r="O312" s="65"/>
      <c r="P312" s="65"/>
      <c r="Q312" s="65"/>
      <c r="R312" s="65"/>
      <c r="S312" s="65"/>
      <c r="T312" s="65"/>
      <c r="U312" s="65"/>
      <c r="V312" s="65"/>
      <c r="W312" s="65"/>
      <c r="X312" s="65"/>
      <c r="Y312" s="65"/>
      <c r="Z312" s="65"/>
    </row>
    <row r="313" spans="1:26" ht="12.75" customHeight="1">
      <c r="A313" s="64" t="s">
        <v>1080</v>
      </c>
      <c r="B313" s="65" t="s">
        <v>707</v>
      </c>
      <c r="C313" s="65" t="s">
        <v>810</v>
      </c>
      <c r="D313" s="65" t="s">
        <v>1081</v>
      </c>
      <c r="E313" s="65" t="s">
        <v>1334</v>
      </c>
      <c r="F313" s="65" t="s">
        <v>1335</v>
      </c>
      <c r="G313" s="65" t="s">
        <v>1014</v>
      </c>
      <c r="H313" s="65" t="s">
        <v>745</v>
      </c>
      <c r="I313" s="65" t="s">
        <v>1336</v>
      </c>
      <c r="J313" s="65" t="s">
        <v>125</v>
      </c>
      <c r="K313" s="65"/>
      <c r="L313" s="65"/>
      <c r="M313" s="65"/>
      <c r="N313" s="65"/>
      <c r="O313" s="65"/>
      <c r="P313" s="65"/>
      <c r="Q313" s="65"/>
      <c r="R313" s="65"/>
      <c r="S313" s="65"/>
      <c r="T313" s="65"/>
      <c r="U313" s="65"/>
      <c r="V313" s="65"/>
      <c r="W313" s="65"/>
      <c r="X313" s="65"/>
      <c r="Y313" s="65"/>
      <c r="Z313" s="65"/>
    </row>
    <row r="314" spans="1:26" ht="12.75" customHeight="1">
      <c r="A314" s="64" t="s">
        <v>1080</v>
      </c>
      <c r="B314" s="65" t="s">
        <v>707</v>
      </c>
      <c r="C314" s="65" t="s">
        <v>810</v>
      </c>
      <c r="D314" s="65" t="s">
        <v>1081</v>
      </c>
      <c r="E314" s="65" t="s">
        <v>1337</v>
      </c>
      <c r="F314" s="65" t="s">
        <v>1338</v>
      </c>
      <c r="G314" s="65" t="s">
        <v>1226</v>
      </c>
      <c r="H314" s="65" t="s">
        <v>745</v>
      </c>
      <c r="I314" s="65" t="s">
        <v>1339</v>
      </c>
      <c r="J314" s="65" t="s">
        <v>125</v>
      </c>
      <c r="K314" s="65"/>
      <c r="L314" s="65"/>
      <c r="M314" s="65"/>
      <c r="N314" s="65"/>
      <c r="O314" s="65"/>
      <c r="P314" s="65"/>
      <c r="Q314" s="65"/>
      <c r="R314" s="65"/>
      <c r="S314" s="65"/>
      <c r="T314" s="65"/>
      <c r="U314" s="65"/>
      <c r="V314" s="65"/>
      <c r="W314" s="65"/>
      <c r="X314" s="65"/>
      <c r="Y314" s="65"/>
      <c r="Z314" s="65"/>
    </row>
    <row r="315" spans="1:26" ht="12.75" customHeight="1">
      <c r="A315" s="64" t="s">
        <v>1080</v>
      </c>
      <c r="B315" s="65" t="s">
        <v>707</v>
      </c>
      <c r="C315" s="65" t="s">
        <v>810</v>
      </c>
      <c r="D315" s="65" t="s">
        <v>1081</v>
      </c>
      <c r="E315" s="65" t="s">
        <v>1340</v>
      </c>
      <c r="F315" s="65" t="s">
        <v>1341</v>
      </c>
      <c r="G315" s="65" t="s">
        <v>1014</v>
      </c>
      <c r="H315" s="65" t="s">
        <v>745</v>
      </c>
      <c r="I315" s="65" t="s">
        <v>1342</v>
      </c>
      <c r="J315" s="65" t="s">
        <v>125</v>
      </c>
      <c r="K315" s="65"/>
      <c r="L315" s="65"/>
      <c r="M315" s="65"/>
      <c r="N315" s="65"/>
      <c r="O315" s="65"/>
      <c r="P315" s="65"/>
      <c r="Q315" s="65"/>
      <c r="R315" s="65"/>
      <c r="S315" s="65"/>
      <c r="T315" s="65"/>
      <c r="U315" s="65"/>
      <c r="V315" s="65"/>
      <c r="W315" s="65"/>
      <c r="X315" s="65"/>
      <c r="Y315" s="65"/>
      <c r="Z315" s="65"/>
    </row>
    <row r="316" spans="1:26" ht="12.75" customHeight="1">
      <c r="A316" s="64" t="s">
        <v>1080</v>
      </c>
      <c r="B316" s="65" t="s">
        <v>707</v>
      </c>
      <c r="C316" s="65" t="s">
        <v>810</v>
      </c>
      <c r="D316" s="65" t="s">
        <v>1081</v>
      </c>
      <c r="E316" s="65" t="s">
        <v>1343</v>
      </c>
      <c r="F316" s="65" t="s">
        <v>1344</v>
      </c>
      <c r="G316" s="65" t="s">
        <v>1014</v>
      </c>
      <c r="H316" s="65" t="s">
        <v>1108</v>
      </c>
      <c r="I316" s="65" t="s">
        <v>1345</v>
      </c>
      <c r="J316" s="65" t="s">
        <v>125</v>
      </c>
      <c r="K316" s="65"/>
      <c r="L316" s="65"/>
      <c r="M316" s="65"/>
      <c r="N316" s="65"/>
      <c r="O316" s="65"/>
      <c r="P316" s="65"/>
      <c r="Q316" s="65"/>
      <c r="R316" s="65"/>
      <c r="S316" s="65"/>
      <c r="T316" s="65"/>
      <c r="U316" s="65"/>
      <c r="V316" s="65"/>
      <c r="W316" s="65"/>
      <c r="X316" s="65"/>
      <c r="Y316" s="65"/>
      <c r="Z316" s="65"/>
    </row>
    <row r="317" spans="1:26" ht="12.75" customHeight="1">
      <c r="A317" s="64" t="s">
        <v>1080</v>
      </c>
      <c r="B317" s="65" t="s">
        <v>707</v>
      </c>
      <c r="C317" s="65" t="s">
        <v>810</v>
      </c>
      <c r="D317" s="65" t="s">
        <v>1081</v>
      </c>
      <c r="E317" s="65" t="s">
        <v>1346</v>
      </c>
      <c r="F317" s="65" t="s">
        <v>1347</v>
      </c>
      <c r="G317" s="65" t="s">
        <v>1348</v>
      </c>
      <c r="H317" s="65" t="s">
        <v>745</v>
      </c>
      <c r="I317" s="65" t="s">
        <v>1349</v>
      </c>
      <c r="J317" s="65" t="s">
        <v>125</v>
      </c>
      <c r="K317" s="65"/>
      <c r="L317" s="65"/>
      <c r="M317" s="65"/>
      <c r="N317" s="65"/>
      <c r="O317" s="65"/>
      <c r="P317" s="65"/>
      <c r="Q317" s="65"/>
      <c r="R317" s="65"/>
      <c r="S317" s="65"/>
      <c r="T317" s="65"/>
      <c r="U317" s="65"/>
      <c r="V317" s="65"/>
      <c r="W317" s="65"/>
      <c r="X317" s="65"/>
      <c r="Y317" s="65"/>
      <c r="Z317" s="65"/>
    </row>
    <row r="318" spans="1:26" ht="12.75" customHeight="1">
      <c r="A318" s="64" t="s">
        <v>1080</v>
      </c>
      <c r="B318" s="65" t="s">
        <v>707</v>
      </c>
      <c r="C318" s="65" t="s">
        <v>810</v>
      </c>
      <c r="D318" s="65" t="s">
        <v>1081</v>
      </c>
      <c r="E318" s="65" t="s">
        <v>1350</v>
      </c>
      <c r="F318" s="65" t="s">
        <v>1351</v>
      </c>
      <c r="G318" s="65" t="s">
        <v>728</v>
      </c>
      <c r="H318" s="65" t="s">
        <v>1352</v>
      </c>
      <c r="I318" s="65" t="s">
        <v>1353</v>
      </c>
      <c r="J318" s="65" t="s">
        <v>125</v>
      </c>
      <c r="K318" s="65"/>
      <c r="L318" s="65"/>
      <c r="M318" s="65"/>
      <c r="N318" s="65"/>
      <c r="O318" s="65"/>
      <c r="P318" s="65"/>
      <c r="Q318" s="65"/>
      <c r="R318" s="65"/>
      <c r="S318" s="65"/>
      <c r="T318" s="65"/>
      <c r="U318" s="65"/>
      <c r="V318" s="65"/>
      <c r="W318" s="65"/>
      <c r="X318" s="65"/>
      <c r="Y318" s="65"/>
      <c r="Z318" s="65"/>
    </row>
    <row r="319" spans="1:26" ht="12.75" customHeight="1">
      <c r="A319" s="64" t="s">
        <v>1080</v>
      </c>
      <c r="B319" s="65" t="s">
        <v>707</v>
      </c>
      <c r="C319" s="65" t="s">
        <v>810</v>
      </c>
      <c r="D319" s="65" t="s">
        <v>1081</v>
      </c>
      <c r="E319" s="65" t="s">
        <v>1350</v>
      </c>
      <c r="F319" s="65" t="s">
        <v>1351</v>
      </c>
      <c r="G319" s="65" t="s">
        <v>728</v>
      </c>
      <c r="H319" s="65" t="s">
        <v>1354</v>
      </c>
      <c r="I319" s="65" t="s">
        <v>1353</v>
      </c>
      <c r="J319" s="65" t="s">
        <v>125</v>
      </c>
      <c r="K319" s="65"/>
      <c r="L319" s="65"/>
      <c r="M319" s="65"/>
      <c r="N319" s="65"/>
      <c r="O319" s="65"/>
      <c r="P319" s="65"/>
      <c r="Q319" s="65"/>
      <c r="R319" s="65"/>
      <c r="S319" s="65"/>
      <c r="T319" s="65"/>
      <c r="U319" s="65"/>
      <c r="V319" s="65"/>
      <c r="W319" s="65"/>
      <c r="X319" s="65"/>
      <c r="Y319" s="65"/>
      <c r="Z319" s="65"/>
    </row>
    <row r="320" spans="1:26" ht="12.75" customHeight="1">
      <c r="A320" s="64" t="s">
        <v>1080</v>
      </c>
      <c r="B320" s="65" t="s">
        <v>707</v>
      </c>
      <c r="C320" s="65" t="s">
        <v>810</v>
      </c>
      <c r="D320" s="65" t="s">
        <v>1081</v>
      </c>
      <c r="E320" s="65" t="s">
        <v>1350</v>
      </c>
      <c r="F320" s="65" t="s">
        <v>1351</v>
      </c>
      <c r="G320" s="65" t="s">
        <v>728</v>
      </c>
      <c r="H320" s="65" t="s">
        <v>1355</v>
      </c>
      <c r="I320" s="65" t="s">
        <v>1353</v>
      </c>
      <c r="J320" s="65" t="s">
        <v>125</v>
      </c>
      <c r="K320" s="65"/>
      <c r="L320" s="65"/>
      <c r="M320" s="65"/>
      <c r="N320" s="65"/>
      <c r="O320" s="65"/>
      <c r="P320" s="65"/>
      <c r="Q320" s="65"/>
      <c r="R320" s="65"/>
      <c r="S320" s="65"/>
      <c r="T320" s="65"/>
      <c r="U320" s="65"/>
      <c r="V320" s="65"/>
      <c r="W320" s="65"/>
      <c r="X320" s="65"/>
      <c r="Y320" s="65"/>
      <c r="Z320" s="65"/>
    </row>
    <row r="321" spans="1:26" ht="12.75" customHeight="1">
      <c r="A321" s="64" t="s">
        <v>1080</v>
      </c>
      <c r="B321" s="65" t="s">
        <v>707</v>
      </c>
      <c r="C321" s="65" t="s">
        <v>810</v>
      </c>
      <c r="D321" s="65" t="s">
        <v>1081</v>
      </c>
      <c r="E321" s="65" t="s">
        <v>1350</v>
      </c>
      <c r="F321" s="65" t="s">
        <v>1351</v>
      </c>
      <c r="G321" s="65" t="s">
        <v>728</v>
      </c>
      <c r="H321" s="65" t="s">
        <v>1356</v>
      </c>
      <c r="I321" s="65" t="s">
        <v>1353</v>
      </c>
      <c r="J321" s="65" t="s">
        <v>125</v>
      </c>
      <c r="K321" s="65"/>
      <c r="L321" s="65"/>
      <c r="M321" s="65"/>
      <c r="N321" s="65"/>
      <c r="O321" s="65"/>
      <c r="P321" s="65"/>
      <c r="Q321" s="65"/>
      <c r="R321" s="65"/>
      <c r="S321" s="65"/>
      <c r="T321" s="65"/>
      <c r="U321" s="65"/>
      <c r="V321" s="65"/>
      <c r="W321" s="65"/>
      <c r="X321" s="65"/>
      <c r="Y321" s="65"/>
      <c r="Z321" s="65"/>
    </row>
    <row r="322" spans="1:26" ht="12.75" customHeight="1">
      <c r="A322" s="64" t="s">
        <v>1080</v>
      </c>
      <c r="B322" s="65" t="s">
        <v>707</v>
      </c>
      <c r="C322" s="65" t="s">
        <v>810</v>
      </c>
      <c r="D322" s="65" t="s">
        <v>1081</v>
      </c>
      <c r="E322" s="65" t="s">
        <v>1350</v>
      </c>
      <c r="F322" s="65" t="s">
        <v>1351</v>
      </c>
      <c r="G322" s="65" t="s">
        <v>1084</v>
      </c>
      <c r="H322" s="65" t="s">
        <v>745</v>
      </c>
      <c r="I322" s="65" t="s">
        <v>1353</v>
      </c>
      <c r="J322" s="65" t="s">
        <v>125</v>
      </c>
      <c r="K322" s="65"/>
      <c r="L322" s="65"/>
      <c r="M322" s="65"/>
      <c r="N322" s="65"/>
      <c r="O322" s="65"/>
      <c r="P322" s="65"/>
      <c r="Q322" s="65"/>
      <c r="R322" s="65"/>
      <c r="S322" s="65"/>
      <c r="T322" s="65"/>
      <c r="U322" s="65"/>
      <c r="V322" s="65"/>
      <c r="W322" s="65"/>
      <c r="X322" s="65"/>
      <c r="Y322" s="65"/>
      <c r="Z322" s="65"/>
    </row>
    <row r="323" spans="1:26" ht="12.75" customHeight="1">
      <c r="A323" s="64" t="s">
        <v>1080</v>
      </c>
      <c r="B323" s="65" t="s">
        <v>707</v>
      </c>
      <c r="C323" s="65" t="s">
        <v>810</v>
      </c>
      <c r="D323" s="65" t="s">
        <v>1081</v>
      </c>
      <c r="E323" s="65" t="s">
        <v>1350</v>
      </c>
      <c r="F323" s="65" t="s">
        <v>1351</v>
      </c>
      <c r="G323" s="65" t="s">
        <v>1014</v>
      </c>
      <c r="H323" s="65" t="s">
        <v>745</v>
      </c>
      <c r="I323" s="65" t="s">
        <v>1353</v>
      </c>
      <c r="J323" s="65" t="s">
        <v>125</v>
      </c>
      <c r="K323" s="65"/>
      <c r="L323" s="65"/>
      <c r="M323" s="65"/>
      <c r="N323" s="65"/>
      <c r="O323" s="65"/>
      <c r="P323" s="65"/>
      <c r="Q323" s="65"/>
      <c r="R323" s="65"/>
      <c r="S323" s="65"/>
      <c r="T323" s="65"/>
      <c r="U323" s="65"/>
      <c r="V323" s="65"/>
      <c r="W323" s="65"/>
      <c r="X323" s="65"/>
      <c r="Y323" s="65"/>
      <c r="Z323" s="65"/>
    </row>
    <row r="324" spans="1:26" ht="12.75" customHeight="1">
      <c r="A324" s="64" t="s">
        <v>1080</v>
      </c>
      <c r="B324" s="65" t="s">
        <v>707</v>
      </c>
      <c r="C324" s="65" t="s">
        <v>810</v>
      </c>
      <c r="D324" s="65" t="s">
        <v>1081</v>
      </c>
      <c r="E324" s="65" t="s">
        <v>1350</v>
      </c>
      <c r="F324" s="65" t="s">
        <v>1351</v>
      </c>
      <c r="G324" s="65" t="s">
        <v>1014</v>
      </c>
      <c r="H324" s="65" t="s">
        <v>1357</v>
      </c>
      <c r="I324" s="65" t="s">
        <v>1353</v>
      </c>
      <c r="J324" s="65" t="s">
        <v>125</v>
      </c>
      <c r="K324" s="65"/>
      <c r="L324" s="65"/>
      <c r="M324" s="65"/>
      <c r="N324" s="65"/>
      <c r="O324" s="65"/>
      <c r="P324" s="65"/>
      <c r="Q324" s="65"/>
      <c r="R324" s="65"/>
      <c r="S324" s="65"/>
      <c r="T324" s="65"/>
      <c r="U324" s="65"/>
      <c r="V324" s="65"/>
      <c r="W324" s="65"/>
      <c r="X324" s="65"/>
      <c r="Y324" s="65"/>
      <c r="Z324" s="65"/>
    </row>
    <row r="325" spans="1:26" ht="12.75" customHeight="1">
      <c r="A325" s="64" t="s">
        <v>1080</v>
      </c>
      <c r="B325" s="65" t="s">
        <v>707</v>
      </c>
      <c r="C325" s="65" t="s">
        <v>810</v>
      </c>
      <c r="D325" s="65" t="s">
        <v>1081</v>
      </c>
      <c r="E325" s="65" t="s">
        <v>1350</v>
      </c>
      <c r="F325" s="65" t="s">
        <v>1351</v>
      </c>
      <c r="G325" s="65" t="s">
        <v>1096</v>
      </c>
      <c r="H325" s="65" t="s">
        <v>745</v>
      </c>
      <c r="I325" s="65" t="s">
        <v>1353</v>
      </c>
      <c r="J325" s="65" t="s">
        <v>125</v>
      </c>
      <c r="K325" s="65"/>
      <c r="L325" s="65"/>
      <c r="M325" s="65"/>
      <c r="N325" s="65"/>
      <c r="O325" s="65"/>
      <c r="P325" s="65"/>
      <c r="Q325" s="65"/>
      <c r="R325" s="65"/>
      <c r="S325" s="65"/>
      <c r="T325" s="65"/>
      <c r="U325" s="65"/>
      <c r="V325" s="65"/>
      <c r="W325" s="65"/>
      <c r="X325" s="65"/>
      <c r="Y325" s="65"/>
      <c r="Z325" s="65"/>
    </row>
    <row r="326" spans="1:26" ht="12.75" customHeight="1">
      <c r="A326" s="64" t="s">
        <v>1080</v>
      </c>
      <c r="B326" s="65" t="s">
        <v>707</v>
      </c>
      <c r="C326" s="65" t="s">
        <v>810</v>
      </c>
      <c r="D326" s="65" t="s">
        <v>1081</v>
      </c>
      <c r="E326" s="65" t="s">
        <v>1350</v>
      </c>
      <c r="F326" s="65" t="s">
        <v>1351</v>
      </c>
      <c r="G326" s="65" t="s">
        <v>1097</v>
      </c>
      <c r="H326" s="65" t="s">
        <v>1098</v>
      </c>
      <c r="I326" s="65" t="s">
        <v>1353</v>
      </c>
      <c r="J326" s="65" t="s">
        <v>125</v>
      </c>
      <c r="K326" s="65"/>
      <c r="L326" s="65"/>
      <c r="M326" s="65"/>
      <c r="N326" s="65"/>
      <c r="O326" s="65"/>
      <c r="P326" s="65"/>
      <c r="Q326" s="65"/>
      <c r="R326" s="65"/>
      <c r="S326" s="65"/>
      <c r="T326" s="65"/>
      <c r="U326" s="65"/>
      <c r="V326" s="65"/>
      <c r="W326" s="65"/>
      <c r="X326" s="65"/>
      <c r="Y326" s="65"/>
      <c r="Z326" s="65"/>
    </row>
    <row r="327" spans="1:26" ht="12.75" customHeight="1">
      <c r="A327" s="64" t="s">
        <v>1080</v>
      </c>
      <c r="B327" s="65" t="s">
        <v>707</v>
      </c>
      <c r="C327" s="65" t="s">
        <v>810</v>
      </c>
      <c r="D327" s="65" t="s">
        <v>1081</v>
      </c>
      <c r="E327" s="65" t="s">
        <v>1350</v>
      </c>
      <c r="F327" s="65" t="s">
        <v>1351</v>
      </c>
      <c r="G327" s="65" t="s">
        <v>1240</v>
      </c>
      <c r="H327" s="65" t="s">
        <v>1358</v>
      </c>
      <c r="I327" s="65" t="s">
        <v>1353</v>
      </c>
      <c r="J327" s="65" t="s">
        <v>125</v>
      </c>
      <c r="K327" s="65"/>
      <c r="L327" s="65"/>
      <c r="M327" s="65"/>
      <c r="N327" s="65"/>
      <c r="O327" s="65"/>
      <c r="P327" s="65"/>
      <c r="Q327" s="65"/>
      <c r="R327" s="65"/>
      <c r="S327" s="65"/>
      <c r="T327" s="65"/>
      <c r="U327" s="65"/>
      <c r="V327" s="65"/>
      <c r="W327" s="65"/>
      <c r="X327" s="65"/>
      <c r="Y327" s="65"/>
      <c r="Z327" s="65"/>
    </row>
    <row r="328" spans="1:26" ht="12.75" customHeight="1">
      <c r="A328" s="64" t="s">
        <v>1080</v>
      </c>
      <c r="B328" s="65" t="s">
        <v>707</v>
      </c>
      <c r="C328" s="65" t="s">
        <v>810</v>
      </c>
      <c r="D328" s="65" t="s">
        <v>1081</v>
      </c>
      <c r="E328" s="65" t="s">
        <v>1359</v>
      </c>
      <c r="F328" s="65" t="s">
        <v>1360</v>
      </c>
      <c r="G328" s="65" t="s">
        <v>1226</v>
      </c>
      <c r="H328" s="65" t="s">
        <v>745</v>
      </c>
      <c r="I328" s="65" t="s">
        <v>1361</v>
      </c>
      <c r="J328" s="65" t="s">
        <v>125</v>
      </c>
      <c r="K328" s="65"/>
      <c r="L328" s="65"/>
      <c r="M328" s="65"/>
      <c r="N328" s="65"/>
      <c r="O328" s="65"/>
      <c r="P328" s="65"/>
      <c r="Q328" s="65"/>
      <c r="R328" s="65"/>
      <c r="S328" s="65"/>
      <c r="T328" s="65"/>
      <c r="U328" s="65"/>
      <c r="V328" s="65"/>
      <c r="W328" s="65"/>
      <c r="X328" s="65"/>
      <c r="Y328" s="65"/>
      <c r="Z328" s="65"/>
    </row>
    <row r="329" spans="1:26" ht="12.75" customHeight="1">
      <c r="A329" s="64" t="s">
        <v>1080</v>
      </c>
      <c r="B329" s="65" t="s">
        <v>707</v>
      </c>
      <c r="C329" s="65" t="s">
        <v>810</v>
      </c>
      <c r="D329" s="65" t="s">
        <v>1081</v>
      </c>
      <c r="E329" s="65" t="s">
        <v>1362</v>
      </c>
      <c r="F329" s="65" t="s">
        <v>1363</v>
      </c>
      <c r="G329" s="65" t="s">
        <v>1158</v>
      </c>
      <c r="H329" s="65" t="s">
        <v>1175</v>
      </c>
      <c r="I329" s="65" t="s">
        <v>1364</v>
      </c>
      <c r="J329" s="65" t="s">
        <v>125</v>
      </c>
      <c r="K329" s="65"/>
      <c r="L329" s="65"/>
      <c r="M329" s="65"/>
      <c r="N329" s="65"/>
      <c r="O329" s="65"/>
      <c r="P329" s="65"/>
      <c r="Q329" s="65"/>
      <c r="R329" s="65"/>
      <c r="S329" s="65"/>
      <c r="T329" s="65"/>
      <c r="U329" s="65"/>
      <c r="V329" s="65"/>
      <c r="W329" s="65"/>
      <c r="X329" s="65"/>
      <c r="Y329" s="65"/>
      <c r="Z329" s="65"/>
    </row>
    <row r="330" spans="1:26" ht="12.75" customHeight="1">
      <c r="A330" s="64" t="s">
        <v>1080</v>
      </c>
      <c r="B330" s="65" t="s">
        <v>707</v>
      </c>
      <c r="C330" s="65" t="s">
        <v>810</v>
      </c>
      <c r="D330" s="65" t="s">
        <v>1081</v>
      </c>
      <c r="E330" s="65" t="s">
        <v>1365</v>
      </c>
      <c r="F330" s="65" t="s">
        <v>1366</v>
      </c>
      <c r="G330" s="65" t="s">
        <v>728</v>
      </c>
      <c r="H330" s="65" t="s">
        <v>1367</v>
      </c>
      <c r="I330" s="65" t="s">
        <v>1368</v>
      </c>
      <c r="J330" s="65" t="s">
        <v>125</v>
      </c>
      <c r="K330" s="65"/>
      <c r="L330" s="65"/>
      <c r="M330" s="65"/>
      <c r="N330" s="65"/>
      <c r="O330" s="65"/>
      <c r="P330" s="65"/>
      <c r="Q330" s="65"/>
      <c r="R330" s="65"/>
      <c r="S330" s="65"/>
      <c r="T330" s="65"/>
      <c r="U330" s="65"/>
      <c r="V330" s="65"/>
      <c r="W330" s="65"/>
      <c r="X330" s="65"/>
      <c r="Y330" s="65"/>
      <c r="Z330" s="65"/>
    </row>
    <row r="331" spans="1:26" ht="12.75" customHeight="1">
      <c r="A331" s="64" t="s">
        <v>1369</v>
      </c>
      <c r="B331" s="65" t="s">
        <v>707</v>
      </c>
      <c r="C331" s="65" t="s">
        <v>810</v>
      </c>
      <c r="D331" s="65" t="s">
        <v>954</v>
      </c>
      <c r="E331" s="65" t="s">
        <v>957</v>
      </c>
      <c r="F331" s="65"/>
      <c r="G331" s="65"/>
      <c r="H331" s="65"/>
      <c r="I331" s="65" t="s">
        <v>1370</v>
      </c>
      <c r="J331" s="65" t="s">
        <v>125</v>
      </c>
      <c r="K331" s="65"/>
      <c r="L331" s="65"/>
      <c r="M331" s="65"/>
      <c r="N331" s="65"/>
      <c r="O331" s="65"/>
      <c r="P331" s="65"/>
      <c r="Q331" s="65"/>
      <c r="R331" s="65"/>
      <c r="S331" s="65"/>
      <c r="T331" s="65"/>
      <c r="U331" s="65"/>
      <c r="V331" s="65"/>
      <c r="W331" s="65"/>
      <c r="X331" s="65"/>
      <c r="Y331" s="65"/>
      <c r="Z331" s="65"/>
    </row>
    <row r="332" spans="1:26" ht="12.75" customHeight="1">
      <c r="A332" s="64" t="s">
        <v>1369</v>
      </c>
      <c r="B332" s="65" t="s">
        <v>707</v>
      </c>
      <c r="C332" s="65" t="s">
        <v>810</v>
      </c>
      <c r="D332" s="65" t="s">
        <v>954</v>
      </c>
      <c r="E332" s="65" t="s">
        <v>959</v>
      </c>
      <c r="F332" s="65"/>
      <c r="G332" s="65"/>
      <c r="H332" s="65"/>
      <c r="I332" s="65" t="s">
        <v>1371</v>
      </c>
      <c r="J332" s="65" t="s">
        <v>125</v>
      </c>
      <c r="K332" s="65"/>
      <c r="L332" s="65"/>
      <c r="M332" s="65"/>
      <c r="N332" s="65"/>
      <c r="O332" s="65"/>
      <c r="P332" s="65"/>
      <c r="Q332" s="65"/>
      <c r="R332" s="65"/>
      <c r="S332" s="65"/>
      <c r="T332" s="65"/>
      <c r="U332" s="65"/>
      <c r="V332" s="65"/>
      <c r="W332" s="65"/>
      <c r="X332" s="65"/>
      <c r="Y332" s="65"/>
      <c r="Z332" s="65"/>
    </row>
    <row r="333" spans="1:26" ht="12.75" customHeight="1">
      <c r="A333" s="64" t="s">
        <v>1369</v>
      </c>
      <c r="B333" s="65" t="s">
        <v>707</v>
      </c>
      <c r="C333" s="65" t="s">
        <v>810</v>
      </c>
      <c r="D333" s="65" t="s">
        <v>954</v>
      </c>
      <c r="E333" s="65" t="s">
        <v>961</v>
      </c>
      <c r="F333" s="65"/>
      <c r="G333" s="65"/>
      <c r="H333" s="65"/>
      <c r="I333" s="65" t="s">
        <v>1372</v>
      </c>
      <c r="J333" s="65" t="s">
        <v>125</v>
      </c>
      <c r="K333" s="65"/>
      <c r="L333" s="65"/>
      <c r="M333" s="65"/>
      <c r="N333" s="65"/>
      <c r="O333" s="65"/>
      <c r="P333" s="65"/>
      <c r="Q333" s="65"/>
      <c r="R333" s="65"/>
      <c r="S333" s="65"/>
      <c r="T333" s="65"/>
      <c r="U333" s="65"/>
      <c r="V333" s="65"/>
      <c r="W333" s="65"/>
      <c r="X333" s="65"/>
      <c r="Y333" s="65"/>
      <c r="Z333" s="65"/>
    </row>
    <row r="334" spans="1:26" ht="12.75" customHeight="1">
      <c r="A334" s="64" t="s">
        <v>1369</v>
      </c>
      <c r="B334" s="65" t="s">
        <v>707</v>
      </c>
      <c r="C334" s="65" t="s">
        <v>810</v>
      </c>
      <c r="D334" s="65" t="s">
        <v>954</v>
      </c>
      <c r="E334" s="65" t="s">
        <v>963</v>
      </c>
      <c r="F334" s="65"/>
      <c r="G334" s="65"/>
      <c r="H334" s="65"/>
      <c r="I334" s="65" t="s">
        <v>1373</v>
      </c>
      <c r="J334" s="65" t="s">
        <v>125</v>
      </c>
      <c r="K334" s="65"/>
      <c r="L334" s="65"/>
      <c r="M334" s="65"/>
      <c r="N334" s="65"/>
      <c r="O334" s="65"/>
      <c r="P334" s="65"/>
      <c r="Q334" s="65"/>
      <c r="R334" s="65"/>
      <c r="S334" s="65"/>
      <c r="T334" s="65"/>
      <c r="U334" s="65"/>
      <c r="V334" s="65"/>
      <c r="W334" s="65"/>
      <c r="X334" s="65"/>
      <c r="Y334" s="65"/>
      <c r="Z334" s="65"/>
    </row>
    <row r="335" spans="1:26" ht="12.75" customHeight="1">
      <c r="A335" s="64" t="s">
        <v>1369</v>
      </c>
      <c r="B335" s="65" t="s">
        <v>707</v>
      </c>
      <c r="C335" s="65" t="s">
        <v>810</v>
      </c>
      <c r="D335" s="65" t="s">
        <v>954</v>
      </c>
      <c r="E335" s="65" t="s">
        <v>965</v>
      </c>
      <c r="F335" s="65"/>
      <c r="G335" s="65"/>
      <c r="H335" s="65"/>
      <c r="I335" s="65" t="s">
        <v>1374</v>
      </c>
      <c r="J335" s="65" t="s">
        <v>125</v>
      </c>
      <c r="K335" s="65"/>
      <c r="L335" s="65"/>
      <c r="M335" s="65"/>
      <c r="N335" s="65"/>
      <c r="O335" s="65"/>
      <c r="P335" s="65"/>
      <c r="Q335" s="65"/>
      <c r="R335" s="65"/>
      <c r="S335" s="65"/>
      <c r="T335" s="65"/>
      <c r="U335" s="65"/>
      <c r="V335" s="65"/>
      <c r="W335" s="65"/>
      <c r="X335" s="65"/>
      <c r="Y335" s="65"/>
      <c r="Z335" s="65"/>
    </row>
    <row r="336" spans="1:26" ht="12.75" customHeight="1">
      <c r="A336" s="64" t="s">
        <v>1369</v>
      </c>
      <c r="B336" s="65" t="s">
        <v>707</v>
      </c>
      <c r="C336" s="65" t="s">
        <v>810</v>
      </c>
      <c r="D336" s="65" t="s">
        <v>954</v>
      </c>
      <c r="E336" s="65" t="s">
        <v>967</v>
      </c>
      <c r="F336" s="65"/>
      <c r="G336" s="65"/>
      <c r="H336" s="65"/>
      <c r="I336" s="65" t="s">
        <v>1375</v>
      </c>
      <c r="J336" s="65" t="s">
        <v>125</v>
      </c>
      <c r="K336" s="65"/>
      <c r="L336" s="65"/>
      <c r="M336" s="65"/>
      <c r="N336" s="65"/>
      <c r="O336" s="65"/>
      <c r="P336" s="65"/>
      <c r="Q336" s="65"/>
      <c r="R336" s="65"/>
      <c r="S336" s="65"/>
      <c r="T336" s="65"/>
      <c r="U336" s="65"/>
      <c r="V336" s="65"/>
      <c r="W336" s="65"/>
      <c r="X336" s="65"/>
      <c r="Y336" s="65"/>
      <c r="Z336" s="65"/>
    </row>
    <row r="337" spans="1:26" ht="12.75" customHeight="1">
      <c r="A337" s="64" t="s">
        <v>1369</v>
      </c>
      <c r="B337" s="65" t="s">
        <v>707</v>
      </c>
      <c r="C337" s="65" t="s">
        <v>810</v>
      </c>
      <c r="D337" s="65" t="s">
        <v>954</v>
      </c>
      <c r="E337" s="65" t="s">
        <v>969</v>
      </c>
      <c r="F337" s="65"/>
      <c r="G337" s="65"/>
      <c r="H337" s="65"/>
      <c r="I337" s="65" t="s">
        <v>1376</v>
      </c>
      <c r="J337" s="65" t="s">
        <v>125</v>
      </c>
      <c r="K337" s="65"/>
      <c r="L337" s="65"/>
      <c r="M337" s="65"/>
      <c r="N337" s="65"/>
      <c r="O337" s="65"/>
      <c r="P337" s="65"/>
      <c r="Q337" s="65"/>
      <c r="R337" s="65"/>
      <c r="S337" s="65"/>
      <c r="T337" s="65"/>
      <c r="U337" s="65"/>
      <c r="V337" s="65"/>
      <c r="W337" s="65"/>
      <c r="X337" s="65"/>
      <c r="Y337" s="65"/>
      <c r="Z337" s="65"/>
    </row>
    <row r="338" spans="1:26" ht="12.75" customHeight="1">
      <c r="A338" s="64" t="s">
        <v>1369</v>
      </c>
      <c r="B338" s="65" t="s">
        <v>707</v>
      </c>
      <c r="C338" s="65" t="s">
        <v>810</v>
      </c>
      <c r="D338" s="65" t="s">
        <v>954</v>
      </c>
      <c r="E338" s="65" t="s">
        <v>971</v>
      </c>
      <c r="F338" s="65"/>
      <c r="G338" s="65"/>
      <c r="H338" s="65"/>
      <c r="I338" s="65" t="s">
        <v>1377</v>
      </c>
      <c r="J338" s="65" t="s">
        <v>125</v>
      </c>
      <c r="K338" s="65"/>
      <c r="L338" s="65"/>
      <c r="M338" s="65"/>
      <c r="N338" s="65"/>
      <c r="O338" s="65"/>
      <c r="P338" s="65"/>
      <c r="Q338" s="65"/>
      <c r="R338" s="65"/>
      <c r="S338" s="65"/>
      <c r="T338" s="65"/>
      <c r="U338" s="65"/>
      <c r="V338" s="65"/>
      <c r="W338" s="65"/>
      <c r="X338" s="65"/>
      <c r="Y338" s="65"/>
      <c r="Z338" s="65"/>
    </row>
    <row r="339" spans="1:26" ht="12.75" customHeight="1">
      <c r="A339" s="64" t="s">
        <v>1369</v>
      </c>
      <c r="B339" s="65" t="s">
        <v>707</v>
      </c>
      <c r="C339" s="65" t="s">
        <v>810</v>
      </c>
      <c r="D339" s="65" t="s">
        <v>954</v>
      </c>
      <c r="E339" s="65" t="s">
        <v>973</v>
      </c>
      <c r="F339" s="65"/>
      <c r="G339" s="65"/>
      <c r="H339" s="65"/>
      <c r="I339" s="65" t="s">
        <v>1378</v>
      </c>
      <c r="J339" s="65" t="s">
        <v>125</v>
      </c>
      <c r="K339" s="65"/>
      <c r="L339" s="65"/>
      <c r="M339" s="65"/>
      <c r="N339" s="65"/>
      <c r="O339" s="65"/>
      <c r="P339" s="65"/>
      <c r="Q339" s="65"/>
      <c r="R339" s="65"/>
      <c r="S339" s="65"/>
      <c r="T339" s="65"/>
      <c r="U339" s="65"/>
      <c r="V339" s="65"/>
      <c r="W339" s="65"/>
      <c r="X339" s="65"/>
      <c r="Y339" s="65"/>
      <c r="Z339" s="65"/>
    </row>
    <row r="340" spans="1:26" ht="12.75" customHeight="1">
      <c r="A340" s="64" t="s">
        <v>1369</v>
      </c>
      <c r="B340" s="65" t="s">
        <v>707</v>
      </c>
      <c r="C340" s="65" t="s">
        <v>810</v>
      </c>
      <c r="D340" s="65" t="s">
        <v>954</v>
      </c>
      <c r="E340" s="65" t="s">
        <v>975</v>
      </c>
      <c r="F340" s="65"/>
      <c r="G340" s="65"/>
      <c r="H340" s="65"/>
      <c r="I340" s="65" t="s">
        <v>1379</v>
      </c>
      <c r="J340" s="65" t="s">
        <v>125</v>
      </c>
      <c r="K340" s="65"/>
      <c r="L340" s="65"/>
      <c r="M340" s="65"/>
      <c r="N340" s="65"/>
      <c r="O340" s="65"/>
      <c r="P340" s="65"/>
      <c r="Q340" s="65"/>
      <c r="R340" s="65"/>
      <c r="S340" s="65"/>
      <c r="T340" s="65"/>
      <c r="U340" s="65"/>
      <c r="V340" s="65"/>
      <c r="W340" s="65"/>
      <c r="X340" s="65"/>
      <c r="Y340" s="65"/>
      <c r="Z340" s="65"/>
    </row>
    <row r="341" spans="1:26" ht="12.75" customHeight="1">
      <c r="A341" s="64" t="s">
        <v>1369</v>
      </c>
      <c r="B341" s="65" t="s">
        <v>707</v>
      </c>
      <c r="C341" s="65" t="s">
        <v>810</v>
      </c>
      <c r="D341" s="65" t="s">
        <v>954</v>
      </c>
      <c r="E341" s="65" t="s">
        <v>977</v>
      </c>
      <c r="F341" s="65"/>
      <c r="G341" s="65"/>
      <c r="H341" s="65"/>
      <c r="I341" s="65" t="s">
        <v>1380</v>
      </c>
      <c r="J341" s="65" t="s">
        <v>125</v>
      </c>
      <c r="K341" s="65"/>
      <c r="L341" s="65"/>
      <c r="M341" s="65"/>
      <c r="N341" s="65"/>
      <c r="O341" s="65"/>
      <c r="P341" s="65"/>
      <c r="Q341" s="65"/>
      <c r="R341" s="65"/>
      <c r="S341" s="65"/>
      <c r="T341" s="65"/>
      <c r="U341" s="65"/>
      <c r="V341" s="65"/>
      <c r="W341" s="65"/>
      <c r="X341" s="65"/>
      <c r="Y341" s="65"/>
      <c r="Z341" s="65"/>
    </row>
    <row r="342" spans="1:26" ht="12.75" customHeight="1">
      <c r="A342" s="64" t="s">
        <v>1369</v>
      </c>
      <c r="B342" s="65" t="s">
        <v>707</v>
      </c>
      <c r="C342" s="65" t="s">
        <v>810</v>
      </c>
      <c r="D342" s="65" t="s">
        <v>954</v>
      </c>
      <c r="E342" s="65" t="s">
        <v>979</v>
      </c>
      <c r="F342" s="65"/>
      <c r="G342" s="65"/>
      <c r="H342" s="65"/>
      <c r="I342" s="65" t="s">
        <v>1381</v>
      </c>
      <c r="J342" s="65" t="s">
        <v>125</v>
      </c>
      <c r="K342" s="65"/>
      <c r="L342" s="65"/>
      <c r="M342" s="65"/>
      <c r="N342" s="65"/>
      <c r="O342" s="65"/>
      <c r="P342" s="65"/>
      <c r="Q342" s="65"/>
      <c r="R342" s="65"/>
      <c r="S342" s="65"/>
      <c r="T342" s="65"/>
      <c r="U342" s="65"/>
      <c r="V342" s="65"/>
      <c r="W342" s="65"/>
      <c r="X342" s="65"/>
      <c r="Y342" s="65"/>
      <c r="Z342" s="65"/>
    </row>
    <row r="343" spans="1:26" ht="12.75" customHeight="1">
      <c r="A343" s="64" t="s">
        <v>1369</v>
      </c>
      <c r="B343" s="65" t="s">
        <v>707</v>
      </c>
      <c r="C343" s="65" t="s">
        <v>810</v>
      </c>
      <c r="D343" s="65" t="s">
        <v>954</v>
      </c>
      <c r="E343" s="65" t="s">
        <v>981</v>
      </c>
      <c r="F343" s="65"/>
      <c r="G343" s="65"/>
      <c r="H343" s="65"/>
      <c r="I343" s="65" t="s">
        <v>1382</v>
      </c>
      <c r="J343" s="65" t="s">
        <v>125</v>
      </c>
      <c r="K343" s="65"/>
      <c r="L343" s="65"/>
      <c r="M343" s="65"/>
      <c r="N343" s="65"/>
      <c r="O343" s="65"/>
      <c r="P343" s="65"/>
      <c r="Q343" s="65"/>
      <c r="R343" s="65"/>
      <c r="S343" s="65"/>
      <c r="T343" s="65"/>
      <c r="U343" s="65"/>
      <c r="V343" s="65"/>
      <c r="W343" s="65"/>
      <c r="X343" s="65"/>
      <c r="Y343" s="65"/>
      <c r="Z343" s="65"/>
    </row>
    <row r="344" spans="1:26" ht="12.75" customHeight="1">
      <c r="A344" s="64" t="s">
        <v>1369</v>
      </c>
      <c r="B344" s="65" t="s">
        <v>707</v>
      </c>
      <c r="C344" s="65" t="s">
        <v>810</v>
      </c>
      <c r="D344" s="65" t="s">
        <v>954</v>
      </c>
      <c r="E344" s="65" t="s">
        <v>983</v>
      </c>
      <c r="F344" s="65"/>
      <c r="G344" s="65"/>
      <c r="H344" s="65"/>
      <c r="I344" s="65" t="s">
        <v>1383</v>
      </c>
      <c r="J344" s="65" t="s">
        <v>125</v>
      </c>
      <c r="K344" s="65"/>
      <c r="L344" s="65"/>
      <c r="M344" s="65"/>
      <c r="N344" s="65"/>
      <c r="O344" s="65"/>
      <c r="P344" s="65"/>
      <c r="Q344" s="65"/>
      <c r="R344" s="65"/>
      <c r="S344" s="65"/>
      <c r="T344" s="65"/>
      <c r="U344" s="65"/>
      <c r="V344" s="65"/>
      <c r="W344" s="65"/>
      <c r="X344" s="65"/>
      <c r="Y344" s="65"/>
      <c r="Z344" s="65"/>
    </row>
    <row r="345" spans="1:26" ht="12.75" customHeight="1">
      <c r="A345" s="64" t="s">
        <v>1369</v>
      </c>
      <c r="B345" s="65" t="s">
        <v>707</v>
      </c>
      <c r="C345" s="65" t="s">
        <v>810</v>
      </c>
      <c r="D345" s="65" t="s">
        <v>954</v>
      </c>
      <c r="E345" s="65" t="s">
        <v>985</v>
      </c>
      <c r="F345" s="65"/>
      <c r="G345" s="65"/>
      <c r="H345" s="65"/>
      <c r="I345" s="65" t="s">
        <v>1384</v>
      </c>
      <c r="J345" s="65" t="s">
        <v>125</v>
      </c>
      <c r="K345" s="65"/>
      <c r="L345" s="65"/>
      <c r="M345" s="65"/>
      <c r="N345" s="65"/>
      <c r="O345" s="65"/>
      <c r="P345" s="65"/>
      <c r="Q345" s="65"/>
      <c r="R345" s="65"/>
      <c r="S345" s="65"/>
      <c r="T345" s="65"/>
      <c r="U345" s="65"/>
      <c r="V345" s="65"/>
      <c r="W345" s="65"/>
      <c r="X345" s="65"/>
      <c r="Y345" s="65"/>
      <c r="Z345" s="65"/>
    </row>
    <row r="346" spans="1:26" ht="12.75" customHeight="1">
      <c r="A346" s="64" t="s">
        <v>1369</v>
      </c>
      <c r="B346" s="65" t="s">
        <v>707</v>
      </c>
      <c r="C346" s="65" t="s">
        <v>810</v>
      </c>
      <c r="D346" s="65" t="s">
        <v>954</v>
      </c>
      <c r="E346" s="65" t="s">
        <v>987</v>
      </c>
      <c r="F346" s="65"/>
      <c r="G346" s="65"/>
      <c r="H346" s="65"/>
      <c r="I346" s="65" t="s">
        <v>1385</v>
      </c>
      <c r="J346" s="65" t="s">
        <v>125</v>
      </c>
      <c r="K346" s="65"/>
      <c r="L346" s="65"/>
      <c r="M346" s="65"/>
      <c r="N346" s="65"/>
      <c r="O346" s="65"/>
      <c r="P346" s="65"/>
      <c r="Q346" s="65"/>
      <c r="R346" s="65"/>
      <c r="S346" s="65"/>
      <c r="T346" s="65"/>
      <c r="U346" s="65"/>
      <c r="V346" s="65"/>
      <c r="W346" s="65"/>
      <c r="X346" s="65"/>
      <c r="Y346" s="65"/>
      <c r="Z346" s="65"/>
    </row>
    <row r="347" spans="1:26" ht="12.75" customHeight="1">
      <c r="A347" s="64" t="s">
        <v>1369</v>
      </c>
      <c r="B347" s="65" t="s">
        <v>707</v>
      </c>
      <c r="C347" s="65" t="s">
        <v>810</v>
      </c>
      <c r="D347" s="65" t="s">
        <v>954</v>
      </c>
      <c r="E347" s="65" t="s">
        <v>989</v>
      </c>
      <c r="F347" s="65"/>
      <c r="G347" s="65"/>
      <c r="H347" s="65"/>
      <c r="I347" s="65" t="s">
        <v>1386</v>
      </c>
      <c r="J347" s="65" t="s">
        <v>125</v>
      </c>
      <c r="K347" s="65"/>
      <c r="L347" s="65"/>
      <c r="M347" s="65"/>
      <c r="N347" s="65"/>
      <c r="O347" s="65"/>
      <c r="P347" s="65"/>
      <c r="Q347" s="65"/>
      <c r="R347" s="65"/>
      <c r="S347" s="65"/>
      <c r="T347" s="65"/>
      <c r="U347" s="65"/>
      <c r="V347" s="65"/>
      <c r="W347" s="65"/>
      <c r="X347" s="65"/>
      <c r="Y347" s="65"/>
      <c r="Z347" s="65"/>
    </row>
    <row r="348" spans="1:26" ht="12.75" customHeight="1">
      <c r="A348" s="64" t="s">
        <v>1369</v>
      </c>
      <c r="B348" s="65" t="s">
        <v>707</v>
      </c>
      <c r="C348" s="65" t="s">
        <v>810</v>
      </c>
      <c r="D348" s="65" t="s">
        <v>954</v>
      </c>
      <c r="E348" s="65" t="s">
        <v>991</v>
      </c>
      <c r="F348" s="65"/>
      <c r="G348" s="65"/>
      <c r="H348" s="65"/>
      <c r="I348" s="65" t="s">
        <v>1387</v>
      </c>
      <c r="J348" s="65" t="s">
        <v>125</v>
      </c>
      <c r="K348" s="65"/>
      <c r="L348" s="65"/>
      <c r="M348" s="65"/>
      <c r="N348" s="65"/>
      <c r="O348" s="65"/>
      <c r="P348" s="65"/>
      <c r="Q348" s="65"/>
      <c r="R348" s="65"/>
      <c r="S348" s="65"/>
      <c r="T348" s="65"/>
      <c r="U348" s="65"/>
      <c r="V348" s="65"/>
      <c r="W348" s="65"/>
      <c r="X348" s="65"/>
      <c r="Y348" s="65"/>
      <c r="Z348" s="65"/>
    </row>
    <row r="349" spans="1:26" ht="12.75" customHeight="1">
      <c r="A349" s="64" t="s">
        <v>1369</v>
      </c>
      <c r="B349" s="65" t="s">
        <v>707</v>
      </c>
      <c r="C349" s="65" t="s">
        <v>810</v>
      </c>
      <c r="D349" s="65" t="s">
        <v>954</v>
      </c>
      <c r="E349" s="65" t="s">
        <v>993</v>
      </c>
      <c r="F349" s="65"/>
      <c r="G349" s="65"/>
      <c r="H349" s="65"/>
      <c r="I349" s="65" t="s">
        <v>1388</v>
      </c>
      <c r="J349" s="65" t="s">
        <v>125</v>
      </c>
      <c r="K349" s="65"/>
      <c r="L349" s="65"/>
      <c r="M349" s="65"/>
      <c r="N349" s="65"/>
      <c r="O349" s="65"/>
      <c r="P349" s="65"/>
      <c r="Q349" s="65"/>
      <c r="R349" s="65"/>
      <c r="S349" s="65"/>
      <c r="T349" s="65"/>
      <c r="U349" s="65"/>
      <c r="V349" s="65"/>
      <c r="W349" s="65"/>
      <c r="X349" s="65"/>
      <c r="Y349" s="65"/>
      <c r="Z349" s="65"/>
    </row>
    <row r="350" spans="1:26" ht="12.75" customHeight="1">
      <c r="A350" s="64" t="s">
        <v>1369</v>
      </c>
      <c r="B350" s="65" t="s">
        <v>707</v>
      </c>
      <c r="C350" s="65" t="s">
        <v>810</v>
      </c>
      <c r="D350" s="65" t="s">
        <v>954</v>
      </c>
      <c r="E350" s="65" t="s">
        <v>995</v>
      </c>
      <c r="F350" s="65"/>
      <c r="G350" s="65"/>
      <c r="H350" s="65"/>
      <c r="I350" s="65" t="s">
        <v>1389</v>
      </c>
      <c r="J350" s="65" t="s">
        <v>125</v>
      </c>
      <c r="K350" s="65"/>
      <c r="L350" s="65"/>
      <c r="M350" s="65"/>
      <c r="N350" s="65"/>
      <c r="O350" s="65"/>
      <c r="P350" s="65"/>
      <c r="Q350" s="65"/>
      <c r="R350" s="65"/>
      <c r="S350" s="65"/>
      <c r="T350" s="65"/>
      <c r="U350" s="65"/>
      <c r="V350" s="65"/>
      <c r="W350" s="65"/>
      <c r="X350" s="65"/>
      <c r="Y350" s="65"/>
      <c r="Z350" s="65"/>
    </row>
    <row r="351" spans="1:26" ht="12.75" customHeight="1">
      <c r="A351" s="64" t="s">
        <v>1369</v>
      </c>
      <c r="B351" s="65" t="s">
        <v>707</v>
      </c>
      <c r="C351" s="65" t="s">
        <v>810</v>
      </c>
      <c r="D351" s="65" t="s">
        <v>954</v>
      </c>
      <c r="E351" s="65" t="s">
        <v>997</v>
      </c>
      <c r="F351" s="65"/>
      <c r="G351" s="65"/>
      <c r="H351" s="65"/>
      <c r="I351" s="65" t="s">
        <v>1390</v>
      </c>
      <c r="J351" s="65" t="s">
        <v>125</v>
      </c>
      <c r="K351" s="65"/>
      <c r="L351" s="65"/>
      <c r="M351" s="65"/>
      <c r="N351" s="65"/>
      <c r="O351" s="65"/>
      <c r="P351" s="65"/>
      <c r="Q351" s="65"/>
      <c r="R351" s="65"/>
      <c r="S351" s="65"/>
      <c r="T351" s="65"/>
      <c r="U351" s="65"/>
      <c r="V351" s="65"/>
      <c r="W351" s="65"/>
      <c r="X351" s="65"/>
      <c r="Y351" s="65"/>
      <c r="Z351" s="65"/>
    </row>
    <row r="352" spans="1:26" ht="12.75" customHeight="1">
      <c r="A352" s="64" t="s">
        <v>1369</v>
      </c>
      <c r="B352" s="65" t="s">
        <v>707</v>
      </c>
      <c r="C352" s="65" t="s">
        <v>810</v>
      </c>
      <c r="D352" s="65" t="s">
        <v>954</v>
      </c>
      <c r="E352" s="65" t="s">
        <v>999</v>
      </c>
      <c r="F352" s="65"/>
      <c r="G352" s="65"/>
      <c r="H352" s="65"/>
      <c r="I352" s="65" t="s">
        <v>1391</v>
      </c>
      <c r="J352" s="65" t="s">
        <v>125</v>
      </c>
      <c r="K352" s="65"/>
      <c r="L352" s="65"/>
      <c r="M352" s="65"/>
      <c r="N352" s="65"/>
      <c r="O352" s="65"/>
      <c r="P352" s="65"/>
      <c r="Q352" s="65"/>
      <c r="R352" s="65"/>
      <c r="S352" s="65"/>
      <c r="T352" s="65"/>
      <c r="U352" s="65"/>
      <c r="V352" s="65"/>
      <c r="W352" s="65"/>
      <c r="X352" s="65"/>
      <c r="Y352" s="65"/>
      <c r="Z352" s="65"/>
    </row>
    <row r="353" spans="1:26" ht="12.75" customHeight="1">
      <c r="A353" s="64" t="s">
        <v>1369</v>
      </c>
      <c r="B353" s="65" t="s">
        <v>707</v>
      </c>
      <c r="C353" s="65" t="s">
        <v>810</v>
      </c>
      <c r="D353" s="65" t="s">
        <v>954</v>
      </c>
      <c r="E353" s="65" t="s">
        <v>1001</v>
      </c>
      <c r="F353" s="65"/>
      <c r="G353" s="65"/>
      <c r="H353" s="65"/>
      <c r="I353" s="65" t="s">
        <v>1392</v>
      </c>
      <c r="J353" s="65" t="s">
        <v>125</v>
      </c>
      <c r="K353" s="65"/>
      <c r="L353" s="65"/>
      <c r="M353" s="65"/>
      <c r="N353" s="65"/>
      <c r="O353" s="65"/>
      <c r="P353" s="65"/>
      <c r="Q353" s="65"/>
      <c r="R353" s="65"/>
      <c r="S353" s="65"/>
      <c r="T353" s="65"/>
      <c r="U353" s="65"/>
      <c r="V353" s="65"/>
      <c r="W353" s="65"/>
      <c r="X353" s="65"/>
      <c r="Y353" s="65"/>
      <c r="Z353" s="65"/>
    </row>
    <row r="354" spans="1:26" ht="12.75" customHeight="1">
      <c r="A354" s="64" t="s">
        <v>1369</v>
      </c>
      <c r="B354" s="65" t="s">
        <v>707</v>
      </c>
      <c r="C354" s="65" t="s">
        <v>810</v>
      </c>
      <c r="D354" s="65" t="s">
        <v>954</v>
      </c>
      <c r="E354" s="65" t="s">
        <v>1003</v>
      </c>
      <c r="F354" s="65"/>
      <c r="G354" s="65"/>
      <c r="H354" s="65"/>
      <c r="I354" s="65" t="s">
        <v>1393</v>
      </c>
      <c r="J354" s="65" t="s">
        <v>125</v>
      </c>
      <c r="K354" s="65"/>
      <c r="L354" s="65"/>
      <c r="M354" s="65"/>
      <c r="N354" s="65"/>
      <c r="O354" s="65"/>
      <c r="P354" s="65"/>
      <c r="Q354" s="65"/>
      <c r="R354" s="65"/>
      <c r="S354" s="65"/>
      <c r="T354" s="65"/>
      <c r="U354" s="65"/>
      <c r="V354" s="65"/>
      <c r="W354" s="65"/>
      <c r="X354" s="65"/>
      <c r="Y354" s="65"/>
      <c r="Z354" s="65"/>
    </row>
    <row r="355" spans="1:26" ht="12.75" customHeight="1">
      <c r="A355" s="64" t="s">
        <v>1369</v>
      </c>
      <c r="B355" s="65" t="s">
        <v>707</v>
      </c>
      <c r="C355" s="65" t="s">
        <v>810</v>
      </c>
      <c r="D355" s="65" t="s">
        <v>954</v>
      </c>
      <c r="E355" s="65" t="s">
        <v>1005</v>
      </c>
      <c r="F355" s="65"/>
      <c r="G355" s="65"/>
      <c r="H355" s="65"/>
      <c r="I355" s="65" t="s">
        <v>1394</v>
      </c>
      <c r="J355" s="65" t="s">
        <v>125</v>
      </c>
      <c r="K355" s="65"/>
      <c r="L355" s="65"/>
      <c r="M355" s="65"/>
      <c r="N355" s="65"/>
      <c r="O355" s="65"/>
      <c r="P355" s="65"/>
      <c r="Q355" s="65"/>
      <c r="R355" s="65"/>
      <c r="S355" s="65"/>
      <c r="T355" s="65"/>
      <c r="U355" s="65"/>
      <c r="V355" s="65"/>
      <c r="W355" s="65"/>
      <c r="X355" s="65"/>
      <c r="Y355" s="65"/>
      <c r="Z355" s="65"/>
    </row>
    <row r="356" spans="1:26" ht="12.75" customHeight="1">
      <c r="A356" s="64" t="s">
        <v>1369</v>
      </c>
      <c r="B356" s="65" t="s">
        <v>707</v>
      </c>
      <c r="C356" s="65" t="s">
        <v>810</v>
      </c>
      <c r="D356" s="65" t="s">
        <v>954</v>
      </c>
      <c r="E356" s="65" t="s">
        <v>1007</v>
      </c>
      <c r="F356" s="65"/>
      <c r="G356" s="65"/>
      <c r="H356" s="65"/>
      <c r="I356" s="65" t="s">
        <v>1395</v>
      </c>
      <c r="J356" s="65" t="s">
        <v>125</v>
      </c>
      <c r="K356" s="65"/>
      <c r="L356" s="65"/>
      <c r="M356" s="65"/>
      <c r="N356" s="65"/>
      <c r="O356" s="65"/>
      <c r="P356" s="65"/>
      <c r="Q356" s="65"/>
      <c r="R356" s="65"/>
      <c r="S356" s="65"/>
      <c r="T356" s="65"/>
      <c r="U356" s="65"/>
      <c r="V356" s="65"/>
      <c r="W356" s="65"/>
      <c r="X356" s="65"/>
      <c r="Y356" s="65"/>
      <c r="Z356" s="65"/>
    </row>
    <row r="357" spans="1:26" ht="12.75" customHeight="1">
      <c r="A357" s="64" t="s">
        <v>1369</v>
      </c>
      <c r="B357" s="65" t="s">
        <v>707</v>
      </c>
      <c r="C357" s="65" t="s">
        <v>810</v>
      </c>
      <c r="D357" s="65" t="s">
        <v>954</v>
      </c>
      <c r="E357" s="65" t="s">
        <v>1009</v>
      </c>
      <c r="F357" s="65"/>
      <c r="G357" s="65"/>
      <c r="H357" s="65"/>
      <c r="I357" s="65" t="s">
        <v>1396</v>
      </c>
      <c r="J357" s="65" t="s">
        <v>125</v>
      </c>
      <c r="K357" s="65"/>
      <c r="L357" s="65"/>
      <c r="M357" s="65"/>
      <c r="N357" s="65"/>
      <c r="O357" s="65"/>
      <c r="P357" s="65"/>
      <c r="Q357" s="65"/>
      <c r="R357" s="65"/>
      <c r="S357" s="65"/>
      <c r="T357" s="65"/>
      <c r="U357" s="65"/>
      <c r="V357" s="65"/>
      <c r="W357" s="65"/>
      <c r="X357" s="65"/>
      <c r="Y357" s="65"/>
      <c r="Z357" s="65"/>
    </row>
    <row r="358" spans="1:26" ht="12.75" customHeight="1">
      <c r="A358" s="64" t="s">
        <v>1369</v>
      </c>
      <c r="B358" s="65" t="s">
        <v>707</v>
      </c>
      <c r="C358" s="65" t="s">
        <v>810</v>
      </c>
      <c r="D358" s="65" t="s">
        <v>954</v>
      </c>
      <c r="E358" s="65" t="s">
        <v>1011</v>
      </c>
      <c r="F358" s="65"/>
      <c r="G358" s="65"/>
      <c r="H358" s="65"/>
      <c r="I358" s="65" t="s">
        <v>1397</v>
      </c>
      <c r="J358" s="65" t="s">
        <v>125</v>
      </c>
      <c r="K358" s="65"/>
      <c r="L358" s="65"/>
      <c r="M358" s="65"/>
      <c r="N358" s="65"/>
      <c r="O358" s="65"/>
      <c r="P358" s="65"/>
      <c r="Q358" s="65"/>
      <c r="R358" s="65"/>
      <c r="S358" s="65"/>
      <c r="T358" s="65"/>
      <c r="U358" s="65"/>
      <c r="V358" s="65"/>
      <c r="W358" s="65"/>
      <c r="X358" s="65"/>
      <c r="Y358" s="65"/>
      <c r="Z358" s="65"/>
    </row>
    <row r="359" spans="1:26" ht="12.75" customHeight="1">
      <c r="A359" s="64" t="s">
        <v>1369</v>
      </c>
      <c r="B359" s="65" t="s">
        <v>707</v>
      </c>
      <c r="C359" s="65" t="s">
        <v>810</v>
      </c>
      <c r="D359" s="65" t="s">
        <v>954</v>
      </c>
      <c r="E359" s="65" t="s">
        <v>1398</v>
      </c>
      <c r="F359" s="65"/>
      <c r="G359" s="65"/>
      <c r="H359" s="65"/>
      <c r="I359" s="65" t="s">
        <v>1399</v>
      </c>
      <c r="J359" s="65" t="s">
        <v>125</v>
      </c>
      <c r="K359" s="65"/>
      <c r="L359" s="65"/>
      <c r="M359" s="65"/>
      <c r="N359" s="65"/>
      <c r="O359" s="65"/>
      <c r="P359" s="65"/>
      <c r="Q359" s="65"/>
      <c r="R359" s="65"/>
      <c r="S359" s="65"/>
      <c r="T359" s="65"/>
      <c r="U359" s="65"/>
      <c r="V359" s="65"/>
      <c r="W359" s="65"/>
      <c r="X359" s="65"/>
      <c r="Y359" s="65"/>
      <c r="Z359" s="65"/>
    </row>
    <row r="360" spans="1:26" ht="12.75" customHeight="1">
      <c r="A360" s="64" t="s">
        <v>1400</v>
      </c>
      <c r="B360" s="65" t="s">
        <v>1401</v>
      </c>
      <c r="C360" s="65" t="s">
        <v>1402</v>
      </c>
      <c r="D360" s="65" t="s">
        <v>1402</v>
      </c>
      <c r="E360" s="65" t="s">
        <v>1403</v>
      </c>
      <c r="F360" s="65" t="s">
        <v>1404</v>
      </c>
      <c r="G360" s="65" t="s">
        <v>1405</v>
      </c>
      <c r="H360" s="65"/>
      <c r="I360" s="65" t="s">
        <v>1406</v>
      </c>
      <c r="J360" s="65" t="s">
        <v>125</v>
      </c>
      <c r="K360" s="65"/>
      <c r="L360" s="65"/>
      <c r="M360" s="65"/>
      <c r="N360" s="65"/>
      <c r="O360" s="65"/>
      <c r="P360" s="65"/>
      <c r="Q360" s="65"/>
      <c r="R360" s="65"/>
      <c r="S360" s="65"/>
      <c r="T360" s="65"/>
      <c r="U360" s="65"/>
      <c r="V360" s="65"/>
      <c r="W360" s="65"/>
      <c r="X360" s="65"/>
      <c r="Y360" s="65"/>
      <c r="Z360" s="65"/>
    </row>
    <row r="361" spans="1:26" ht="12.75" customHeight="1">
      <c r="A361" s="64" t="s">
        <v>1400</v>
      </c>
      <c r="B361" s="65" t="s">
        <v>1401</v>
      </c>
      <c r="C361" s="65" t="s">
        <v>1402</v>
      </c>
      <c r="D361" s="65" t="s">
        <v>1402</v>
      </c>
      <c r="E361" s="65" t="s">
        <v>1407</v>
      </c>
      <c r="F361" s="65" t="s">
        <v>1408</v>
      </c>
      <c r="G361" s="65" t="s">
        <v>1158</v>
      </c>
      <c r="H361" s="65" t="s">
        <v>1409</v>
      </c>
      <c r="I361" s="65" t="s">
        <v>1410</v>
      </c>
      <c r="J361" s="65" t="s">
        <v>125</v>
      </c>
      <c r="K361" s="65"/>
      <c r="L361" s="65"/>
      <c r="M361" s="65"/>
      <c r="N361" s="65"/>
      <c r="O361" s="65"/>
      <c r="P361" s="65"/>
      <c r="Q361" s="65"/>
      <c r="R361" s="65"/>
      <c r="S361" s="65"/>
      <c r="T361" s="65"/>
      <c r="U361" s="65"/>
      <c r="V361" s="65"/>
      <c r="W361" s="65"/>
      <c r="X361" s="65"/>
      <c r="Y361" s="65"/>
      <c r="Z361" s="65"/>
    </row>
    <row r="362" spans="1:26" ht="12.75" customHeight="1">
      <c r="A362" s="64" t="s">
        <v>1400</v>
      </c>
      <c r="B362" s="65" t="s">
        <v>1401</v>
      </c>
      <c r="C362" s="65" t="s">
        <v>1402</v>
      </c>
      <c r="D362" s="65" t="s">
        <v>1402</v>
      </c>
      <c r="E362" s="65" t="s">
        <v>1411</v>
      </c>
      <c r="F362" s="65" t="s">
        <v>1412</v>
      </c>
      <c r="G362" s="65" t="s">
        <v>1186</v>
      </c>
      <c r="H362" s="65" t="s">
        <v>745</v>
      </c>
      <c r="I362" s="65" t="s">
        <v>1413</v>
      </c>
      <c r="J362" s="65" t="s">
        <v>125</v>
      </c>
      <c r="K362" s="65"/>
      <c r="L362" s="65"/>
      <c r="M362" s="65"/>
      <c r="N362" s="65"/>
      <c r="O362" s="65"/>
      <c r="P362" s="65"/>
      <c r="Q362" s="65"/>
      <c r="R362" s="65"/>
      <c r="S362" s="65"/>
      <c r="T362" s="65"/>
      <c r="U362" s="65"/>
      <c r="V362" s="65"/>
      <c r="W362" s="65"/>
      <c r="X362" s="65"/>
      <c r="Y362" s="65"/>
      <c r="Z362" s="65"/>
    </row>
    <row r="363" spans="1:26" ht="12.75" customHeight="1">
      <c r="A363" s="64" t="s">
        <v>1400</v>
      </c>
      <c r="B363" s="65" t="s">
        <v>1401</v>
      </c>
      <c r="C363" s="65" t="s">
        <v>1402</v>
      </c>
      <c r="D363" s="65" t="s">
        <v>1402</v>
      </c>
      <c r="E363" s="65" t="s">
        <v>1414</v>
      </c>
      <c r="F363" s="65" t="s">
        <v>1415</v>
      </c>
      <c r="G363" s="65" t="s">
        <v>1240</v>
      </c>
      <c r="H363" s="65"/>
      <c r="I363" s="65" t="s">
        <v>1416</v>
      </c>
      <c r="J363" s="65" t="s">
        <v>125</v>
      </c>
      <c r="K363" s="65"/>
      <c r="L363" s="65"/>
      <c r="M363" s="65"/>
      <c r="N363" s="65"/>
      <c r="O363" s="65"/>
      <c r="P363" s="65"/>
      <c r="Q363" s="65"/>
      <c r="R363" s="65"/>
      <c r="S363" s="65"/>
      <c r="T363" s="65"/>
      <c r="U363" s="65"/>
      <c r="V363" s="65"/>
      <c r="W363" s="65"/>
      <c r="X363" s="65"/>
      <c r="Y363" s="65"/>
      <c r="Z363" s="65"/>
    </row>
    <row r="364" spans="1:26" ht="12.75" customHeight="1">
      <c r="A364" s="64" t="s">
        <v>1400</v>
      </c>
      <c r="B364" s="65" t="s">
        <v>1401</v>
      </c>
      <c r="C364" s="65" t="s">
        <v>1402</v>
      </c>
      <c r="D364" s="65" t="s">
        <v>1402</v>
      </c>
      <c r="E364" s="65" t="s">
        <v>1417</v>
      </c>
      <c r="F364" s="65"/>
      <c r="G364" s="65" t="s">
        <v>1209</v>
      </c>
      <c r="H364" s="65" t="s">
        <v>745</v>
      </c>
      <c r="I364" s="65" t="s">
        <v>1418</v>
      </c>
      <c r="J364" s="65" t="s">
        <v>125</v>
      </c>
      <c r="K364" s="65"/>
      <c r="L364" s="65"/>
      <c r="M364" s="65"/>
      <c r="N364" s="65"/>
      <c r="O364" s="65"/>
      <c r="P364" s="65"/>
      <c r="Q364" s="65"/>
      <c r="R364" s="65"/>
      <c r="S364" s="65"/>
      <c r="T364" s="65"/>
      <c r="U364" s="65"/>
      <c r="V364" s="65"/>
      <c r="W364" s="65"/>
      <c r="X364" s="65"/>
      <c r="Y364" s="65"/>
      <c r="Z364" s="65"/>
    </row>
    <row r="365" spans="1:26" ht="12.75" customHeight="1">
      <c r="A365" s="64" t="s">
        <v>1400</v>
      </c>
      <c r="B365" s="65" t="s">
        <v>1401</v>
      </c>
      <c r="C365" s="65" t="s">
        <v>1402</v>
      </c>
      <c r="D365" s="65" t="s">
        <v>1402</v>
      </c>
      <c r="E365" s="65" t="s">
        <v>1419</v>
      </c>
      <c r="F365" s="65" t="s">
        <v>1420</v>
      </c>
      <c r="G365" s="65" t="s">
        <v>1217</v>
      </c>
      <c r="H365" s="65" t="s">
        <v>1421</v>
      </c>
      <c r="I365" s="65" t="s">
        <v>1422</v>
      </c>
      <c r="J365" s="65" t="s">
        <v>125</v>
      </c>
      <c r="K365" s="65"/>
      <c r="L365" s="65"/>
      <c r="M365" s="65"/>
      <c r="N365" s="65"/>
      <c r="O365" s="65"/>
      <c r="P365" s="65"/>
      <c r="Q365" s="65"/>
      <c r="R365" s="65"/>
      <c r="S365" s="65"/>
      <c r="T365" s="65"/>
      <c r="U365" s="65"/>
      <c r="V365" s="65"/>
      <c r="W365" s="65"/>
      <c r="X365" s="65"/>
      <c r="Y365" s="65"/>
      <c r="Z365" s="65"/>
    </row>
    <row r="366" spans="1:26" ht="12.75" customHeight="1">
      <c r="A366" s="64" t="s">
        <v>1400</v>
      </c>
      <c r="B366" s="65" t="s">
        <v>1401</v>
      </c>
      <c r="C366" s="65" t="s">
        <v>1402</v>
      </c>
      <c r="D366" s="65" t="s">
        <v>1402</v>
      </c>
      <c r="E366" s="65" t="s">
        <v>1423</v>
      </c>
      <c r="F366" s="65" t="s">
        <v>1424</v>
      </c>
      <c r="G366" s="65" t="s">
        <v>1217</v>
      </c>
      <c r="H366" s="65" t="s">
        <v>1425</v>
      </c>
      <c r="I366" s="65" t="s">
        <v>1426</v>
      </c>
      <c r="J366" s="65" t="s">
        <v>125</v>
      </c>
      <c r="K366" s="65"/>
      <c r="L366" s="65"/>
      <c r="M366" s="65"/>
      <c r="N366" s="65"/>
      <c r="O366" s="65"/>
      <c r="P366" s="65"/>
      <c r="Q366" s="65"/>
      <c r="R366" s="65"/>
      <c r="S366" s="65"/>
      <c r="T366" s="65"/>
      <c r="U366" s="65"/>
      <c r="V366" s="65"/>
      <c r="W366" s="65"/>
      <c r="X366" s="65"/>
      <c r="Y366" s="65"/>
      <c r="Z366" s="65"/>
    </row>
    <row r="367" spans="1:26" ht="12.75" customHeight="1">
      <c r="A367" s="64" t="s">
        <v>1400</v>
      </c>
      <c r="B367" s="65" t="s">
        <v>1401</v>
      </c>
      <c r="C367" s="65" t="s">
        <v>1402</v>
      </c>
      <c r="D367" s="65" t="s">
        <v>1402</v>
      </c>
      <c r="E367" s="65" t="s">
        <v>1427</v>
      </c>
      <c r="F367" s="65" t="s">
        <v>1420</v>
      </c>
      <c r="G367" s="65" t="s">
        <v>1217</v>
      </c>
      <c r="H367" s="65" t="s">
        <v>1222</v>
      </c>
      <c r="I367" s="65" t="s">
        <v>1428</v>
      </c>
      <c r="J367" s="65" t="s">
        <v>125</v>
      </c>
      <c r="K367" s="65"/>
      <c r="L367" s="65"/>
      <c r="M367" s="65"/>
      <c r="N367" s="65"/>
      <c r="O367" s="65"/>
      <c r="P367" s="65"/>
      <c r="Q367" s="65"/>
      <c r="R367" s="65"/>
      <c r="S367" s="65"/>
      <c r="T367" s="65"/>
      <c r="U367" s="65"/>
      <c r="V367" s="65"/>
      <c r="W367" s="65"/>
      <c r="X367" s="65"/>
      <c r="Y367" s="65"/>
      <c r="Z367" s="65"/>
    </row>
    <row r="368" spans="1:26" ht="12.75" customHeight="1">
      <c r="A368" s="64" t="s">
        <v>1400</v>
      </c>
      <c r="B368" s="65" t="s">
        <v>1401</v>
      </c>
      <c r="C368" s="65" t="s">
        <v>1402</v>
      </c>
      <c r="D368" s="65" t="s">
        <v>1402</v>
      </c>
      <c r="E368" s="65" t="s">
        <v>1429</v>
      </c>
      <c r="F368" s="65" t="s">
        <v>1430</v>
      </c>
      <c r="G368" s="65" t="s">
        <v>1217</v>
      </c>
      <c r="H368" s="65" t="s">
        <v>1222</v>
      </c>
      <c r="I368" s="65" t="s">
        <v>1431</v>
      </c>
      <c r="J368" s="65" t="s">
        <v>125</v>
      </c>
      <c r="K368" s="65"/>
      <c r="L368" s="65"/>
      <c r="M368" s="65"/>
      <c r="N368" s="65"/>
      <c r="O368" s="65"/>
      <c r="P368" s="65"/>
      <c r="Q368" s="65"/>
      <c r="R368" s="65"/>
      <c r="S368" s="65"/>
      <c r="T368" s="65"/>
      <c r="U368" s="65"/>
      <c r="V368" s="65"/>
      <c r="W368" s="65"/>
      <c r="X368" s="65"/>
      <c r="Y368" s="65"/>
      <c r="Z368" s="65"/>
    </row>
    <row r="369" spans="1:26" ht="12.75" customHeight="1">
      <c r="A369" s="64" t="s">
        <v>1400</v>
      </c>
      <c r="B369" s="65" t="s">
        <v>1401</v>
      </c>
      <c r="C369" s="65" t="s">
        <v>1402</v>
      </c>
      <c r="D369" s="65" t="s">
        <v>1402</v>
      </c>
      <c r="E369" s="65" t="s">
        <v>1432</v>
      </c>
      <c r="F369" s="65" t="s">
        <v>1420</v>
      </c>
      <c r="G369" s="65" t="s">
        <v>1217</v>
      </c>
      <c r="H369" s="65" t="s">
        <v>1433</v>
      </c>
      <c r="I369" s="65" t="s">
        <v>1434</v>
      </c>
      <c r="J369" s="65" t="s">
        <v>125</v>
      </c>
      <c r="K369" s="65"/>
      <c r="L369" s="65"/>
      <c r="M369" s="65"/>
      <c r="N369" s="65"/>
      <c r="O369" s="65"/>
      <c r="P369" s="65"/>
      <c r="Q369" s="65"/>
      <c r="R369" s="65"/>
      <c r="S369" s="65"/>
      <c r="T369" s="65"/>
      <c r="U369" s="65"/>
      <c r="V369" s="65"/>
      <c r="W369" s="65"/>
      <c r="X369" s="65"/>
      <c r="Y369" s="65"/>
      <c r="Z369" s="65"/>
    </row>
    <row r="370" spans="1:26" ht="12.75" customHeight="1">
      <c r="A370" s="64" t="s">
        <v>1400</v>
      </c>
      <c r="B370" s="65" t="s">
        <v>1401</v>
      </c>
      <c r="C370" s="65" t="s">
        <v>1402</v>
      </c>
      <c r="D370" s="65" t="s">
        <v>1402</v>
      </c>
      <c r="E370" s="65" t="s">
        <v>1435</v>
      </c>
      <c r="F370" s="65" t="s">
        <v>1420</v>
      </c>
      <c r="G370" s="65" t="s">
        <v>1217</v>
      </c>
      <c r="H370" s="65" t="s">
        <v>1436</v>
      </c>
      <c r="I370" s="65" t="s">
        <v>1437</v>
      </c>
      <c r="J370" s="65" t="s">
        <v>125</v>
      </c>
      <c r="K370" s="65"/>
      <c r="L370" s="65"/>
      <c r="M370" s="65"/>
      <c r="N370" s="65"/>
      <c r="O370" s="65"/>
      <c r="P370" s="65"/>
      <c r="Q370" s="65"/>
      <c r="R370" s="65"/>
      <c r="S370" s="65"/>
      <c r="T370" s="65"/>
      <c r="U370" s="65"/>
      <c r="V370" s="65"/>
      <c r="W370" s="65"/>
      <c r="X370" s="65"/>
      <c r="Y370" s="65"/>
      <c r="Z370" s="65"/>
    </row>
    <row r="371" spans="1:26" ht="12.75" customHeight="1">
      <c r="A371" s="64" t="s">
        <v>1400</v>
      </c>
      <c r="B371" s="65" t="s">
        <v>1401</v>
      </c>
      <c r="C371" s="65" t="s">
        <v>1402</v>
      </c>
      <c r="D371" s="65" t="s">
        <v>1402</v>
      </c>
      <c r="E371" s="65" t="s">
        <v>1438</v>
      </c>
      <c r="F371" s="65" t="s">
        <v>1420</v>
      </c>
      <c r="G371" s="65" t="s">
        <v>1217</v>
      </c>
      <c r="H371" s="65" t="s">
        <v>1439</v>
      </c>
      <c r="I371" s="65" t="s">
        <v>1440</v>
      </c>
      <c r="J371" s="65" t="s">
        <v>125</v>
      </c>
      <c r="K371" s="65"/>
      <c r="L371" s="65"/>
      <c r="M371" s="65"/>
      <c r="N371" s="65"/>
      <c r="O371" s="65"/>
      <c r="P371" s="65"/>
      <c r="Q371" s="65"/>
      <c r="R371" s="65"/>
      <c r="S371" s="65"/>
      <c r="T371" s="65"/>
      <c r="U371" s="65"/>
      <c r="V371" s="65"/>
      <c r="W371" s="65"/>
      <c r="X371" s="65"/>
      <c r="Y371" s="65"/>
      <c r="Z371" s="65"/>
    </row>
    <row r="372" spans="1:26" ht="12.75" customHeight="1">
      <c r="A372" s="64" t="s">
        <v>1400</v>
      </c>
      <c r="B372" s="65" t="s">
        <v>1401</v>
      </c>
      <c r="C372" s="65" t="s">
        <v>1402</v>
      </c>
      <c r="D372" s="65" t="s">
        <v>1402</v>
      </c>
      <c r="E372" s="65" t="s">
        <v>1298</v>
      </c>
      <c r="F372" s="65" t="s">
        <v>1441</v>
      </c>
      <c r="G372" s="65" t="s">
        <v>758</v>
      </c>
      <c r="H372" s="65" t="s">
        <v>1300</v>
      </c>
      <c r="I372" s="65" t="s">
        <v>1442</v>
      </c>
      <c r="J372" s="65" t="s">
        <v>125</v>
      </c>
      <c r="K372" s="65"/>
      <c r="L372" s="65"/>
      <c r="M372" s="65"/>
      <c r="N372" s="65"/>
      <c r="O372" s="65"/>
      <c r="P372" s="65"/>
      <c r="Q372" s="65"/>
      <c r="R372" s="65"/>
      <c r="S372" s="65"/>
      <c r="T372" s="65"/>
      <c r="U372" s="65"/>
      <c r="V372" s="65"/>
      <c r="W372" s="65"/>
      <c r="X372" s="65"/>
      <c r="Y372" s="65"/>
      <c r="Z372" s="65"/>
    </row>
    <row r="373" spans="1:26" ht="12.75" customHeight="1">
      <c r="A373" s="64" t="s">
        <v>1400</v>
      </c>
      <c r="B373" s="65" t="s">
        <v>1401</v>
      </c>
      <c r="C373" s="65" t="s">
        <v>1402</v>
      </c>
      <c r="D373" s="65" t="s">
        <v>1402</v>
      </c>
      <c r="E373" s="65" t="s">
        <v>1443</v>
      </c>
      <c r="F373" s="65" t="s">
        <v>1444</v>
      </c>
      <c r="G373" s="65" t="s">
        <v>1445</v>
      </c>
      <c r="H373" s="65" t="s">
        <v>1446</v>
      </c>
      <c r="I373" s="65" t="s">
        <v>1447</v>
      </c>
      <c r="J373" s="65" t="s">
        <v>125</v>
      </c>
      <c r="K373" s="65"/>
      <c r="L373" s="65"/>
      <c r="M373" s="65"/>
      <c r="N373" s="65"/>
      <c r="O373" s="65"/>
      <c r="P373" s="65"/>
      <c r="Q373" s="65"/>
      <c r="R373" s="65"/>
      <c r="S373" s="65"/>
      <c r="T373" s="65"/>
      <c r="U373" s="65"/>
      <c r="V373" s="65"/>
      <c r="W373" s="65"/>
      <c r="X373" s="65"/>
      <c r="Y373" s="65"/>
      <c r="Z373" s="65"/>
    </row>
    <row r="374" spans="1:26" ht="12.75" customHeight="1">
      <c r="A374" s="64" t="s">
        <v>1400</v>
      </c>
      <c r="B374" s="65" t="s">
        <v>1401</v>
      </c>
      <c r="C374" s="65" t="s">
        <v>1402</v>
      </c>
      <c r="D374" s="65" t="s">
        <v>1402</v>
      </c>
      <c r="E374" s="65" t="s">
        <v>1448</v>
      </c>
      <c r="F374" s="65" t="s">
        <v>1449</v>
      </c>
      <c r="G374" s="65" t="s">
        <v>1445</v>
      </c>
      <c r="H374" s="65" t="s">
        <v>1446</v>
      </c>
      <c r="I374" s="65" t="s">
        <v>1450</v>
      </c>
      <c r="J374" s="65" t="s">
        <v>125</v>
      </c>
      <c r="K374" s="65"/>
      <c r="L374" s="65"/>
      <c r="M374" s="65"/>
      <c r="N374" s="65"/>
      <c r="O374" s="65"/>
      <c r="P374" s="65"/>
      <c r="Q374" s="65"/>
      <c r="R374" s="65"/>
      <c r="S374" s="65"/>
      <c r="T374" s="65"/>
      <c r="U374" s="65"/>
      <c r="V374" s="65"/>
      <c r="W374" s="65"/>
      <c r="X374" s="65"/>
      <c r="Y374" s="65"/>
      <c r="Z374" s="65"/>
    </row>
    <row r="375" spans="1:26" ht="12.75" customHeight="1">
      <c r="A375" s="64" t="s">
        <v>1400</v>
      </c>
      <c r="B375" s="65" t="s">
        <v>1401</v>
      </c>
      <c r="C375" s="65" t="s">
        <v>1402</v>
      </c>
      <c r="D375" s="65" t="s">
        <v>1402</v>
      </c>
      <c r="E375" s="65" t="s">
        <v>1451</v>
      </c>
      <c r="F375" s="65" t="s">
        <v>1452</v>
      </c>
      <c r="G375" s="65" t="s">
        <v>1445</v>
      </c>
      <c r="H375" s="65" t="s">
        <v>1446</v>
      </c>
      <c r="I375" s="65" t="s">
        <v>1453</v>
      </c>
      <c r="J375" s="65" t="s">
        <v>125</v>
      </c>
      <c r="K375" s="65"/>
      <c r="L375" s="65"/>
      <c r="M375" s="65"/>
      <c r="N375" s="65"/>
      <c r="O375" s="65"/>
      <c r="P375" s="65"/>
      <c r="Q375" s="65"/>
      <c r="R375" s="65"/>
      <c r="S375" s="65"/>
      <c r="T375" s="65"/>
      <c r="U375" s="65"/>
      <c r="V375" s="65"/>
      <c r="W375" s="65"/>
      <c r="X375" s="65"/>
      <c r="Y375" s="65"/>
      <c r="Z375" s="65"/>
    </row>
    <row r="376" spans="1:26" ht="12.75" customHeight="1">
      <c r="A376" s="64" t="s">
        <v>1400</v>
      </c>
      <c r="B376" s="65" t="s">
        <v>1401</v>
      </c>
      <c r="C376" s="65" t="s">
        <v>1402</v>
      </c>
      <c r="D376" s="65" t="s">
        <v>1402</v>
      </c>
      <c r="E376" s="65" t="s">
        <v>1454</v>
      </c>
      <c r="F376" s="65" t="s">
        <v>1455</v>
      </c>
      <c r="G376" s="65"/>
      <c r="H376" s="65"/>
      <c r="I376" s="65" t="s">
        <v>1456</v>
      </c>
      <c r="J376" s="65" t="s">
        <v>125</v>
      </c>
      <c r="K376" s="65"/>
      <c r="L376" s="65"/>
      <c r="M376" s="65"/>
      <c r="N376" s="65"/>
      <c r="O376" s="65"/>
      <c r="P376" s="65"/>
      <c r="Q376" s="65"/>
      <c r="R376" s="65"/>
      <c r="S376" s="65"/>
      <c r="T376" s="65"/>
      <c r="U376" s="65"/>
      <c r="V376" s="65"/>
      <c r="W376" s="65"/>
      <c r="X376" s="65"/>
      <c r="Y376" s="65"/>
      <c r="Z376" s="65"/>
    </row>
    <row r="377" spans="1:26" ht="12.75" customHeight="1">
      <c r="A377" s="64" t="s">
        <v>1400</v>
      </c>
      <c r="B377" s="65" t="s">
        <v>1401</v>
      </c>
      <c r="C377" s="65" t="s">
        <v>1402</v>
      </c>
      <c r="D377" s="65" t="s">
        <v>1402</v>
      </c>
      <c r="E377" s="65" t="s">
        <v>1457</v>
      </c>
      <c r="F377" s="65" t="s">
        <v>1458</v>
      </c>
      <c r="G377" s="65" t="s">
        <v>744</v>
      </c>
      <c r="H377" s="65" t="s">
        <v>1459</v>
      </c>
      <c r="I377" s="65" t="s">
        <v>1460</v>
      </c>
      <c r="J377" s="65" t="s">
        <v>125</v>
      </c>
      <c r="K377" s="65"/>
      <c r="L377" s="65"/>
      <c r="M377" s="65"/>
      <c r="N377" s="65"/>
      <c r="O377" s="65"/>
      <c r="P377" s="65"/>
      <c r="Q377" s="65"/>
      <c r="R377" s="65"/>
      <c r="S377" s="65"/>
      <c r="T377" s="65"/>
      <c r="U377" s="65"/>
      <c r="V377" s="65"/>
      <c r="W377" s="65"/>
      <c r="X377" s="65"/>
      <c r="Y377" s="65"/>
      <c r="Z377" s="65"/>
    </row>
    <row r="378" spans="1:26" ht="12.75" customHeight="1">
      <c r="A378" s="64" t="s">
        <v>1461</v>
      </c>
      <c r="B378" s="65" t="s">
        <v>1401</v>
      </c>
      <c r="C378" s="65" t="s">
        <v>1462</v>
      </c>
      <c r="D378" s="65" t="s">
        <v>1462</v>
      </c>
      <c r="E378" s="65" t="s">
        <v>1463</v>
      </c>
      <c r="F378" s="65" t="s">
        <v>1464</v>
      </c>
      <c r="G378" s="65" t="s">
        <v>1014</v>
      </c>
      <c r="H378" s="65" t="s">
        <v>745</v>
      </c>
      <c r="I378" s="65" t="s">
        <v>1465</v>
      </c>
      <c r="J378" s="65" t="s">
        <v>125</v>
      </c>
      <c r="K378" s="65"/>
      <c r="L378" s="65"/>
      <c r="M378" s="65"/>
      <c r="N378" s="65"/>
      <c r="O378" s="65"/>
      <c r="P378" s="65"/>
      <c r="Q378" s="65"/>
      <c r="R378" s="65"/>
      <c r="S378" s="65"/>
      <c r="T378" s="65"/>
      <c r="U378" s="65"/>
      <c r="V378" s="65"/>
      <c r="W378" s="65"/>
      <c r="X378" s="65"/>
      <c r="Y378" s="65"/>
      <c r="Z378" s="65"/>
    </row>
    <row r="379" spans="1:26" ht="12.75" customHeight="1">
      <c r="A379" s="64" t="s">
        <v>1461</v>
      </c>
      <c r="B379" s="65" t="s">
        <v>1401</v>
      </c>
      <c r="C379" s="65" t="s">
        <v>1462</v>
      </c>
      <c r="D379" s="65" t="s">
        <v>1462</v>
      </c>
      <c r="E379" s="65" t="s">
        <v>1466</v>
      </c>
      <c r="F379" s="65" t="s">
        <v>1467</v>
      </c>
      <c r="G379" s="65" t="s">
        <v>1014</v>
      </c>
      <c r="H379" s="65" t="s">
        <v>745</v>
      </c>
      <c r="I379" s="65" t="s">
        <v>1468</v>
      </c>
      <c r="J379" s="65" t="s">
        <v>125</v>
      </c>
      <c r="K379" s="65"/>
      <c r="L379" s="65"/>
      <c r="M379" s="65"/>
      <c r="N379" s="65"/>
      <c r="O379" s="65"/>
      <c r="P379" s="65"/>
      <c r="Q379" s="65"/>
      <c r="R379" s="65"/>
      <c r="S379" s="65"/>
      <c r="T379" s="65"/>
      <c r="U379" s="65"/>
      <c r="V379" s="65"/>
      <c r="W379" s="65"/>
      <c r="X379" s="65"/>
      <c r="Y379" s="65"/>
      <c r="Z379" s="65"/>
    </row>
    <row r="380" spans="1:26" ht="12.75" customHeight="1">
      <c r="A380" s="64" t="s">
        <v>1461</v>
      </c>
      <c r="B380" s="65" t="s">
        <v>1401</v>
      </c>
      <c r="C380" s="65" t="s">
        <v>1462</v>
      </c>
      <c r="D380" s="65" t="s">
        <v>1462</v>
      </c>
      <c r="E380" s="65" t="s">
        <v>1469</v>
      </c>
      <c r="F380" s="65" t="s">
        <v>1470</v>
      </c>
      <c r="G380" s="65" t="s">
        <v>1014</v>
      </c>
      <c r="H380" s="65" t="s">
        <v>745</v>
      </c>
      <c r="I380" s="65" t="s">
        <v>1471</v>
      </c>
      <c r="J380" s="65" t="s">
        <v>125</v>
      </c>
      <c r="K380" s="65"/>
      <c r="L380" s="65"/>
      <c r="M380" s="65"/>
      <c r="N380" s="65"/>
      <c r="O380" s="65"/>
      <c r="P380" s="65"/>
      <c r="Q380" s="65"/>
      <c r="R380" s="65"/>
      <c r="S380" s="65"/>
      <c r="T380" s="65"/>
      <c r="U380" s="65"/>
      <c r="V380" s="65"/>
      <c r="W380" s="65"/>
      <c r="X380" s="65"/>
      <c r="Y380" s="65"/>
      <c r="Z380" s="65"/>
    </row>
    <row r="381" spans="1:26" ht="12.75" customHeight="1">
      <c r="A381" s="64" t="s">
        <v>1461</v>
      </c>
      <c r="B381" s="65" t="s">
        <v>1401</v>
      </c>
      <c r="C381" s="65" t="s">
        <v>1462</v>
      </c>
      <c r="D381" s="65" t="s">
        <v>1462</v>
      </c>
      <c r="E381" s="65" t="s">
        <v>1472</v>
      </c>
      <c r="F381" s="65" t="s">
        <v>1473</v>
      </c>
      <c r="G381" s="65" t="s">
        <v>1014</v>
      </c>
      <c r="H381" s="65" t="s">
        <v>745</v>
      </c>
      <c r="I381" s="65" t="s">
        <v>1474</v>
      </c>
      <c r="J381" s="65" t="s">
        <v>125</v>
      </c>
      <c r="K381" s="65"/>
      <c r="L381" s="65"/>
      <c r="M381" s="65"/>
      <c r="N381" s="65"/>
      <c r="O381" s="65"/>
      <c r="P381" s="65"/>
      <c r="Q381" s="65"/>
      <c r="R381" s="65"/>
      <c r="S381" s="65"/>
      <c r="T381" s="65"/>
      <c r="U381" s="65"/>
      <c r="V381" s="65"/>
      <c r="W381" s="65"/>
      <c r="X381" s="65"/>
      <c r="Y381" s="65"/>
      <c r="Z381" s="65"/>
    </row>
    <row r="382" spans="1:26" ht="12.75" customHeight="1">
      <c r="A382" s="64" t="s">
        <v>1461</v>
      </c>
      <c r="B382" s="65" t="s">
        <v>1401</v>
      </c>
      <c r="C382" s="65" t="s">
        <v>1462</v>
      </c>
      <c r="D382" s="65" t="s">
        <v>1462</v>
      </c>
      <c r="E382" s="65" t="s">
        <v>1475</v>
      </c>
      <c r="F382" s="65" t="s">
        <v>1476</v>
      </c>
      <c r="G382" s="65" t="s">
        <v>1014</v>
      </c>
      <c r="H382" s="65" t="s">
        <v>745</v>
      </c>
      <c r="I382" s="65" t="s">
        <v>1477</v>
      </c>
      <c r="J382" s="65" t="s">
        <v>125</v>
      </c>
      <c r="K382" s="65"/>
      <c r="L382" s="65"/>
      <c r="M382" s="65"/>
      <c r="N382" s="65"/>
      <c r="O382" s="65"/>
      <c r="P382" s="65"/>
      <c r="Q382" s="65"/>
      <c r="R382" s="65"/>
      <c r="S382" s="65"/>
      <c r="T382" s="65"/>
      <c r="U382" s="65"/>
      <c r="V382" s="65"/>
      <c r="W382" s="65"/>
      <c r="X382" s="65"/>
      <c r="Y382" s="65"/>
      <c r="Z382" s="65"/>
    </row>
    <row r="383" spans="1:26" ht="12.75" customHeight="1">
      <c r="A383" s="64" t="s">
        <v>1461</v>
      </c>
      <c r="B383" s="65" t="s">
        <v>1401</v>
      </c>
      <c r="C383" s="65" t="s">
        <v>1462</v>
      </c>
      <c r="D383" s="65" t="s">
        <v>1462</v>
      </c>
      <c r="E383" s="65" t="s">
        <v>1478</v>
      </c>
      <c r="F383" s="65" t="s">
        <v>1479</v>
      </c>
      <c r="G383" s="65" t="s">
        <v>1014</v>
      </c>
      <c r="H383" s="65" t="s">
        <v>745</v>
      </c>
      <c r="I383" s="65" t="s">
        <v>1480</v>
      </c>
      <c r="J383" s="65" t="s">
        <v>125</v>
      </c>
      <c r="K383" s="65"/>
      <c r="L383" s="65"/>
      <c r="M383" s="65"/>
      <c r="N383" s="65"/>
      <c r="O383" s="65"/>
      <c r="P383" s="65"/>
      <c r="Q383" s="65"/>
      <c r="R383" s="65"/>
      <c r="S383" s="65"/>
      <c r="T383" s="65"/>
      <c r="U383" s="65"/>
      <c r="V383" s="65"/>
      <c r="W383" s="65"/>
      <c r="X383" s="65"/>
      <c r="Y383" s="65"/>
      <c r="Z383" s="65"/>
    </row>
    <row r="384" spans="1:26" ht="12.75" customHeight="1">
      <c r="A384" s="64" t="s">
        <v>1461</v>
      </c>
      <c r="B384" s="65" t="s">
        <v>1401</v>
      </c>
      <c r="C384" s="65" t="s">
        <v>1462</v>
      </c>
      <c r="D384" s="65" t="s">
        <v>1462</v>
      </c>
      <c r="E384" s="65" t="s">
        <v>1481</v>
      </c>
      <c r="F384" s="65" t="s">
        <v>1482</v>
      </c>
      <c r="G384" s="65" t="s">
        <v>1014</v>
      </c>
      <c r="H384" s="65" t="s">
        <v>745</v>
      </c>
      <c r="I384" s="65" t="s">
        <v>1483</v>
      </c>
      <c r="J384" s="65" t="s">
        <v>125</v>
      </c>
      <c r="K384" s="65"/>
      <c r="L384" s="65"/>
      <c r="M384" s="65"/>
      <c r="N384" s="65"/>
      <c r="O384" s="65"/>
      <c r="P384" s="65"/>
      <c r="Q384" s="65"/>
      <c r="R384" s="65"/>
      <c r="S384" s="65"/>
      <c r="T384" s="65"/>
      <c r="U384" s="65"/>
      <c r="V384" s="65"/>
      <c r="W384" s="65"/>
      <c r="X384" s="65"/>
      <c r="Y384" s="65"/>
      <c r="Z384" s="65"/>
    </row>
    <row r="385" spans="1:26" ht="12.75" customHeight="1">
      <c r="A385" s="64" t="s">
        <v>1461</v>
      </c>
      <c r="B385" s="65" t="s">
        <v>1401</v>
      </c>
      <c r="C385" s="65" t="s">
        <v>1462</v>
      </c>
      <c r="D385" s="65" t="s">
        <v>1462</v>
      </c>
      <c r="E385" s="65" t="s">
        <v>1484</v>
      </c>
      <c r="F385" s="65" t="s">
        <v>1485</v>
      </c>
      <c r="G385" s="65" t="s">
        <v>1014</v>
      </c>
      <c r="H385" s="65" t="s">
        <v>1111</v>
      </c>
      <c r="I385" s="65" t="s">
        <v>1486</v>
      </c>
      <c r="J385" s="65" t="s">
        <v>125</v>
      </c>
      <c r="K385" s="65"/>
      <c r="L385" s="65"/>
      <c r="M385" s="65"/>
      <c r="N385" s="65"/>
      <c r="O385" s="65"/>
      <c r="P385" s="65"/>
      <c r="Q385" s="65"/>
      <c r="R385" s="65"/>
      <c r="S385" s="65"/>
      <c r="T385" s="65"/>
      <c r="U385" s="65"/>
      <c r="V385" s="65"/>
      <c r="W385" s="65"/>
      <c r="X385" s="65"/>
      <c r="Y385" s="65"/>
      <c r="Z385" s="65"/>
    </row>
    <row r="386" spans="1:26" ht="12.75" customHeight="1">
      <c r="A386" s="64" t="s">
        <v>1461</v>
      </c>
      <c r="B386" s="65" t="s">
        <v>1401</v>
      </c>
      <c r="C386" s="65" t="s">
        <v>1462</v>
      </c>
      <c r="D386" s="65" t="s">
        <v>1462</v>
      </c>
      <c r="E386" s="65" t="s">
        <v>1487</v>
      </c>
      <c r="F386" s="65" t="s">
        <v>1488</v>
      </c>
      <c r="G386" s="65" t="s">
        <v>1014</v>
      </c>
      <c r="H386" s="65" t="s">
        <v>1489</v>
      </c>
      <c r="I386" s="65" t="s">
        <v>1490</v>
      </c>
      <c r="J386" s="65" t="s">
        <v>125</v>
      </c>
      <c r="K386" s="65"/>
      <c r="L386" s="65"/>
      <c r="M386" s="65"/>
      <c r="N386" s="65"/>
      <c r="O386" s="65"/>
      <c r="P386" s="65"/>
      <c r="Q386" s="65"/>
      <c r="R386" s="65"/>
      <c r="S386" s="65"/>
      <c r="T386" s="65"/>
      <c r="U386" s="65"/>
      <c r="V386" s="65"/>
      <c r="W386" s="65"/>
      <c r="X386" s="65"/>
      <c r="Y386" s="65"/>
      <c r="Z386" s="65"/>
    </row>
    <row r="387" spans="1:26" ht="12.75" customHeight="1">
      <c r="A387" s="64" t="s">
        <v>1461</v>
      </c>
      <c r="B387" s="65" t="s">
        <v>1401</v>
      </c>
      <c r="C387" s="65" t="s">
        <v>1462</v>
      </c>
      <c r="D387" s="65" t="s">
        <v>1462</v>
      </c>
      <c r="E387" s="65" t="s">
        <v>1491</v>
      </c>
      <c r="F387" s="65" t="s">
        <v>1492</v>
      </c>
      <c r="G387" s="65" t="s">
        <v>1014</v>
      </c>
      <c r="H387" s="65" t="s">
        <v>1357</v>
      </c>
      <c r="I387" s="65" t="s">
        <v>1493</v>
      </c>
      <c r="J387" s="65" t="s">
        <v>125</v>
      </c>
      <c r="K387" s="65"/>
      <c r="L387" s="65"/>
      <c r="M387" s="65"/>
      <c r="N387" s="65"/>
      <c r="O387" s="65"/>
      <c r="P387" s="65"/>
      <c r="Q387" s="65"/>
      <c r="R387" s="65"/>
      <c r="S387" s="65"/>
      <c r="T387" s="65"/>
      <c r="U387" s="65"/>
      <c r="V387" s="65"/>
      <c r="W387" s="65"/>
      <c r="X387" s="65"/>
      <c r="Y387" s="65"/>
      <c r="Z387" s="65"/>
    </row>
    <row r="388" spans="1:26" ht="12.75" customHeight="1">
      <c r="A388" s="64" t="s">
        <v>1461</v>
      </c>
      <c r="B388" s="65" t="s">
        <v>1401</v>
      </c>
      <c r="C388" s="65" t="s">
        <v>1462</v>
      </c>
      <c r="D388" s="65" t="s">
        <v>1462</v>
      </c>
      <c r="E388" s="65" t="s">
        <v>1494</v>
      </c>
      <c r="F388" s="65" t="s">
        <v>1495</v>
      </c>
      <c r="G388" s="65" t="s">
        <v>1496</v>
      </c>
      <c r="H388" s="65" t="s">
        <v>1497</v>
      </c>
      <c r="I388" s="65" t="s">
        <v>1498</v>
      </c>
      <c r="J388" s="65" t="s">
        <v>125</v>
      </c>
      <c r="K388" s="65"/>
      <c r="L388" s="65"/>
      <c r="M388" s="65"/>
      <c r="N388" s="65"/>
      <c r="O388" s="65"/>
      <c r="P388" s="65"/>
      <c r="Q388" s="65"/>
      <c r="R388" s="65"/>
      <c r="S388" s="65"/>
      <c r="T388" s="65"/>
      <c r="U388" s="65"/>
      <c r="V388" s="65"/>
      <c r="W388" s="65"/>
      <c r="X388" s="65"/>
      <c r="Y388" s="65"/>
      <c r="Z388" s="65"/>
    </row>
    <row r="389" spans="1:26" ht="12.75" customHeight="1">
      <c r="A389" s="64" t="s">
        <v>1461</v>
      </c>
      <c r="B389" s="65" t="s">
        <v>1401</v>
      </c>
      <c r="C389" s="65" t="s">
        <v>1462</v>
      </c>
      <c r="D389" s="65" t="s">
        <v>1462</v>
      </c>
      <c r="E389" s="65" t="s">
        <v>1499</v>
      </c>
      <c r="F389" s="65" t="s">
        <v>1500</v>
      </c>
      <c r="G389" s="65" t="s">
        <v>744</v>
      </c>
      <c r="H389" s="65" t="s">
        <v>745</v>
      </c>
      <c r="I389" s="65" t="s">
        <v>1501</v>
      </c>
      <c r="J389" s="65" t="s">
        <v>125</v>
      </c>
      <c r="K389" s="65"/>
      <c r="L389" s="65"/>
      <c r="M389" s="65"/>
      <c r="N389" s="65"/>
      <c r="O389" s="65"/>
      <c r="P389" s="65"/>
      <c r="Q389" s="65"/>
      <c r="R389" s="65"/>
      <c r="S389" s="65"/>
      <c r="T389" s="65"/>
      <c r="U389" s="65"/>
      <c r="V389" s="65"/>
      <c r="W389" s="65"/>
      <c r="X389" s="65"/>
      <c r="Y389" s="65"/>
      <c r="Z389" s="65"/>
    </row>
    <row r="390" spans="1:26" ht="12.75" customHeight="1">
      <c r="A390" s="64" t="s">
        <v>1461</v>
      </c>
      <c r="B390" s="65" t="s">
        <v>1401</v>
      </c>
      <c r="C390" s="65" t="s">
        <v>1462</v>
      </c>
      <c r="D390" s="65" t="s">
        <v>1462</v>
      </c>
      <c r="E390" s="65" t="s">
        <v>1502</v>
      </c>
      <c r="F390" s="65" t="s">
        <v>1503</v>
      </c>
      <c r="G390" s="65" t="s">
        <v>744</v>
      </c>
      <c r="H390" s="65" t="s">
        <v>745</v>
      </c>
      <c r="I390" s="65" t="s">
        <v>1504</v>
      </c>
      <c r="J390" s="65" t="s">
        <v>125</v>
      </c>
      <c r="K390" s="65"/>
      <c r="L390" s="65"/>
      <c r="M390" s="65"/>
      <c r="N390" s="65"/>
      <c r="O390" s="65"/>
      <c r="P390" s="65"/>
      <c r="Q390" s="65"/>
      <c r="R390" s="65"/>
      <c r="S390" s="65"/>
      <c r="T390" s="65"/>
      <c r="U390" s="65"/>
      <c r="V390" s="65"/>
      <c r="W390" s="65"/>
      <c r="X390" s="65"/>
      <c r="Y390" s="65"/>
      <c r="Z390" s="65"/>
    </row>
    <row r="391" spans="1:26" ht="12.75" customHeight="1">
      <c r="A391" s="64" t="s">
        <v>1461</v>
      </c>
      <c r="B391" s="65" t="s">
        <v>1401</v>
      </c>
      <c r="C391" s="65" t="s">
        <v>1462</v>
      </c>
      <c r="D391" s="65" t="s">
        <v>1462</v>
      </c>
      <c r="E391" s="65" t="s">
        <v>1505</v>
      </c>
      <c r="F391" s="65" t="s">
        <v>1506</v>
      </c>
      <c r="G391" s="65" t="s">
        <v>744</v>
      </c>
      <c r="H391" s="65" t="s">
        <v>745</v>
      </c>
      <c r="I391" s="65" t="s">
        <v>1507</v>
      </c>
      <c r="J391" s="65" t="s">
        <v>125</v>
      </c>
      <c r="K391" s="65"/>
      <c r="L391" s="65"/>
      <c r="M391" s="65"/>
      <c r="N391" s="65"/>
      <c r="O391" s="65"/>
      <c r="P391" s="65"/>
      <c r="Q391" s="65"/>
      <c r="R391" s="65"/>
      <c r="S391" s="65"/>
      <c r="T391" s="65"/>
      <c r="U391" s="65"/>
      <c r="V391" s="65"/>
      <c r="W391" s="65"/>
      <c r="X391" s="65"/>
      <c r="Y391" s="65"/>
      <c r="Z391" s="65"/>
    </row>
    <row r="392" spans="1:26" ht="12.75" customHeight="1">
      <c r="A392" s="64" t="s">
        <v>1461</v>
      </c>
      <c r="B392" s="65" t="s">
        <v>1401</v>
      </c>
      <c r="C392" s="65" t="s">
        <v>1462</v>
      </c>
      <c r="D392" s="65" t="s">
        <v>1462</v>
      </c>
      <c r="E392" s="65" t="s">
        <v>1508</v>
      </c>
      <c r="F392" s="65" t="s">
        <v>1509</v>
      </c>
      <c r="G392" s="65" t="s">
        <v>744</v>
      </c>
      <c r="H392" s="65" t="s">
        <v>745</v>
      </c>
      <c r="I392" s="65" t="s">
        <v>1510</v>
      </c>
      <c r="J392" s="65" t="s">
        <v>125</v>
      </c>
      <c r="K392" s="65"/>
      <c r="L392" s="65"/>
      <c r="M392" s="65"/>
      <c r="N392" s="65"/>
      <c r="O392" s="65"/>
      <c r="P392" s="65"/>
      <c r="Q392" s="65"/>
      <c r="R392" s="65"/>
      <c r="S392" s="65"/>
      <c r="T392" s="65"/>
      <c r="U392" s="65"/>
      <c r="V392" s="65"/>
      <c r="W392" s="65"/>
      <c r="X392" s="65"/>
      <c r="Y392" s="65"/>
      <c r="Z392" s="65"/>
    </row>
    <row r="393" spans="1:26" ht="12.75" customHeight="1">
      <c r="A393" s="64" t="s">
        <v>1461</v>
      </c>
      <c r="B393" s="65" t="s">
        <v>1401</v>
      </c>
      <c r="C393" s="65" t="s">
        <v>1462</v>
      </c>
      <c r="D393" s="65" t="s">
        <v>1462</v>
      </c>
      <c r="E393" s="65" t="s">
        <v>1511</v>
      </c>
      <c r="F393" s="65" t="s">
        <v>1509</v>
      </c>
      <c r="G393" s="65" t="s">
        <v>744</v>
      </c>
      <c r="H393" s="65" t="s">
        <v>745</v>
      </c>
      <c r="I393" s="65" t="s">
        <v>1512</v>
      </c>
      <c r="J393" s="65" t="s">
        <v>125</v>
      </c>
      <c r="K393" s="65"/>
      <c r="L393" s="65"/>
      <c r="M393" s="65"/>
      <c r="N393" s="65"/>
      <c r="O393" s="65"/>
      <c r="P393" s="65"/>
      <c r="Q393" s="65"/>
      <c r="R393" s="65"/>
      <c r="S393" s="65"/>
      <c r="T393" s="65"/>
      <c r="U393" s="65"/>
      <c r="V393" s="65"/>
      <c r="W393" s="65"/>
      <c r="X393" s="65"/>
      <c r="Y393" s="65"/>
      <c r="Z393" s="65"/>
    </row>
    <row r="394" spans="1:26" ht="12.75" customHeight="1">
      <c r="A394" s="64" t="s">
        <v>1461</v>
      </c>
      <c r="B394" s="65" t="s">
        <v>1401</v>
      </c>
      <c r="C394" s="65" t="s">
        <v>1462</v>
      </c>
      <c r="D394" s="65" t="s">
        <v>1462</v>
      </c>
      <c r="E394" s="65" t="s">
        <v>1513</v>
      </c>
      <c r="F394" s="65" t="s">
        <v>1514</v>
      </c>
      <c r="G394" s="65" t="s">
        <v>744</v>
      </c>
      <c r="H394" s="65" t="s">
        <v>745</v>
      </c>
      <c r="I394" s="65" t="s">
        <v>1515</v>
      </c>
      <c r="J394" s="65" t="s">
        <v>125</v>
      </c>
      <c r="K394" s="65"/>
      <c r="L394" s="65"/>
      <c r="M394" s="65"/>
      <c r="N394" s="65"/>
      <c r="O394" s="65"/>
      <c r="P394" s="65"/>
      <c r="Q394" s="65"/>
      <c r="R394" s="65"/>
      <c r="S394" s="65"/>
      <c r="T394" s="65"/>
      <c r="U394" s="65"/>
      <c r="V394" s="65"/>
      <c r="W394" s="65"/>
      <c r="X394" s="65"/>
      <c r="Y394" s="65"/>
      <c r="Z394" s="65"/>
    </row>
    <row r="395" spans="1:26" ht="12.75" customHeight="1">
      <c r="A395" s="64" t="s">
        <v>1461</v>
      </c>
      <c r="B395" s="65" t="s">
        <v>1401</v>
      </c>
      <c r="C395" s="65" t="s">
        <v>1462</v>
      </c>
      <c r="D395" s="65" t="s">
        <v>1462</v>
      </c>
      <c r="E395" s="65" t="s">
        <v>1516</v>
      </c>
      <c r="F395" s="65" t="s">
        <v>1517</v>
      </c>
      <c r="G395" s="65" t="s">
        <v>744</v>
      </c>
      <c r="H395" s="65" t="s">
        <v>745</v>
      </c>
      <c r="I395" s="65" t="s">
        <v>1518</v>
      </c>
      <c r="J395" s="65" t="s">
        <v>125</v>
      </c>
      <c r="K395" s="65"/>
      <c r="L395" s="65"/>
      <c r="M395" s="65"/>
      <c r="N395" s="65"/>
      <c r="O395" s="65"/>
      <c r="P395" s="65"/>
      <c r="Q395" s="65"/>
      <c r="R395" s="65"/>
      <c r="S395" s="65"/>
      <c r="T395" s="65"/>
      <c r="U395" s="65"/>
      <c r="V395" s="65"/>
      <c r="W395" s="65"/>
      <c r="X395" s="65"/>
      <c r="Y395" s="65"/>
      <c r="Z395" s="65"/>
    </row>
    <row r="396" spans="1:26" ht="12.75" customHeight="1">
      <c r="A396" s="64" t="s">
        <v>1461</v>
      </c>
      <c r="B396" s="65" t="s">
        <v>1401</v>
      </c>
      <c r="C396" s="65" t="s">
        <v>1462</v>
      </c>
      <c r="D396" s="65" t="s">
        <v>1462</v>
      </c>
      <c r="E396" s="65" t="s">
        <v>1519</v>
      </c>
      <c r="F396" s="65" t="s">
        <v>1520</v>
      </c>
      <c r="G396" s="65" t="s">
        <v>744</v>
      </c>
      <c r="H396" s="65" t="s">
        <v>745</v>
      </c>
      <c r="I396" s="65" t="s">
        <v>1521</v>
      </c>
      <c r="J396" s="65" t="s">
        <v>125</v>
      </c>
      <c r="K396" s="65"/>
      <c r="L396" s="65"/>
      <c r="M396" s="65"/>
      <c r="N396" s="65"/>
      <c r="O396" s="65"/>
      <c r="P396" s="65"/>
      <c r="Q396" s="65"/>
      <c r="R396" s="65"/>
      <c r="S396" s="65"/>
      <c r="T396" s="65"/>
      <c r="U396" s="65"/>
      <c r="V396" s="65"/>
      <c r="W396" s="65"/>
      <c r="X396" s="65"/>
      <c r="Y396" s="65"/>
      <c r="Z396" s="65"/>
    </row>
    <row r="397" spans="1:26" ht="12.75" customHeight="1">
      <c r="A397" s="64" t="s">
        <v>1461</v>
      </c>
      <c r="B397" s="65" t="s">
        <v>1401</v>
      </c>
      <c r="C397" s="65" t="s">
        <v>1462</v>
      </c>
      <c r="D397" s="65" t="s">
        <v>1462</v>
      </c>
      <c r="E397" s="65" t="s">
        <v>1522</v>
      </c>
      <c r="F397" s="65" t="s">
        <v>1523</v>
      </c>
      <c r="G397" s="65" t="s">
        <v>744</v>
      </c>
      <c r="H397" s="65" t="s">
        <v>1459</v>
      </c>
      <c r="I397" s="65" t="s">
        <v>1524</v>
      </c>
      <c r="J397" s="65" t="s">
        <v>556</v>
      </c>
      <c r="K397" s="65"/>
      <c r="L397" s="65"/>
      <c r="M397" s="65"/>
      <c r="N397" s="65"/>
      <c r="O397" s="65"/>
      <c r="P397" s="65"/>
      <c r="Q397" s="65"/>
      <c r="R397" s="65"/>
      <c r="S397" s="65"/>
      <c r="T397" s="65"/>
      <c r="U397" s="65"/>
      <c r="V397" s="65"/>
      <c r="W397" s="65"/>
      <c r="X397" s="65"/>
      <c r="Y397" s="65"/>
      <c r="Z397" s="65"/>
    </row>
    <row r="398" spans="1:26" ht="12.75" customHeight="1">
      <c r="A398" s="64" t="s">
        <v>1461</v>
      </c>
      <c r="B398" s="65" t="s">
        <v>1401</v>
      </c>
      <c r="C398" s="65" t="s">
        <v>1462</v>
      </c>
      <c r="D398" s="65" t="s">
        <v>1462</v>
      </c>
      <c r="E398" s="65" t="s">
        <v>1525</v>
      </c>
      <c r="F398" s="65" t="s">
        <v>1526</v>
      </c>
      <c r="G398" s="65" t="s">
        <v>1096</v>
      </c>
      <c r="H398" s="65" t="s">
        <v>1151</v>
      </c>
      <c r="I398" s="65" t="s">
        <v>1527</v>
      </c>
      <c r="J398" s="65" t="s">
        <v>125</v>
      </c>
      <c r="K398" s="65"/>
      <c r="L398" s="65"/>
      <c r="M398" s="65"/>
      <c r="N398" s="65"/>
      <c r="O398" s="65"/>
      <c r="P398" s="65"/>
      <c r="Q398" s="65"/>
      <c r="R398" s="65"/>
      <c r="S398" s="65"/>
      <c r="T398" s="65"/>
      <c r="U398" s="65"/>
      <c r="V398" s="65"/>
      <c r="W398" s="65"/>
      <c r="X398" s="65"/>
      <c r="Y398" s="65"/>
      <c r="Z398" s="65"/>
    </row>
    <row r="399" spans="1:26" ht="12.75" customHeight="1">
      <c r="A399" s="64" t="s">
        <v>1461</v>
      </c>
      <c r="B399" s="65" t="s">
        <v>1401</v>
      </c>
      <c r="C399" s="65" t="s">
        <v>1462</v>
      </c>
      <c r="D399" s="65" t="s">
        <v>1462</v>
      </c>
      <c r="E399" s="65" t="s">
        <v>1528</v>
      </c>
      <c r="F399" s="65" t="s">
        <v>1529</v>
      </c>
      <c r="G399" s="65" t="s">
        <v>1158</v>
      </c>
      <c r="H399" s="65" t="s">
        <v>745</v>
      </c>
      <c r="I399" s="65" t="s">
        <v>1530</v>
      </c>
      <c r="J399" s="65" t="s">
        <v>125</v>
      </c>
      <c r="K399" s="65"/>
      <c r="L399" s="65"/>
      <c r="M399" s="65"/>
      <c r="N399" s="65"/>
      <c r="O399" s="65"/>
      <c r="P399" s="65"/>
      <c r="Q399" s="65"/>
      <c r="R399" s="65"/>
      <c r="S399" s="65"/>
      <c r="T399" s="65"/>
      <c r="U399" s="65"/>
      <c r="V399" s="65"/>
      <c r="W399" s="65"/>
      <c r="X399" s="65"/>
      <c r="Y399" s="65"/>
      <c r="Z399" s="65"/>
    </row>
    <row r="400" spans="1:26" ht="12.75" customHeight="1">
      <c r="A400" s="64" t="s">
        <v>1461</v>
      </c>
      <c r="B400" s="65" t="s">
        <v>1401</v>
      </c>
      <c r="C400" s="65" t="s">
        <v>1462</v>
      </c>
      <c r="D400" s="65" t="s">
        <v>1462</v>
      </c>
      <c r="E400" s="65" t="s">
        <v>1531</v>
      </c>
      <c r="F400" s="65" t="s">
        <v>1532</v>
      </c>
      <c r="G400" s="65" t="s">
        <v>1158</v>
      </c>
      <c r="H400" s="65" t="s">
        <v>745</v>
      </c>
      <c r="I400" s="65" t="s">
        <v>1533</v>
      </c>
      <c r="J400" s="65" t="s">
        <v>125</v>
      </c>
      <c r="K400" s="65"/>
      <c r="L400" s="65"/>
      <c r="M400" s="65"/>
      <c r="N400" s="65"/>
      <c r="O400" s="65"/>
      <c r="P400" s="65"/>
      <c r="Q400" s="65"/>
      <c r="R400" s="65"/>
      <c r="S400" s="65"/>
      <c r="T400" s="65"/>
      <c r="U400" s="65"/>
      <c r="V400" s="65"/>
      <c r="W400" s="65"/>
      <c r="X400" s="65"/>
      <c r="Y400" s="65"/>
      <c r="Z400" s="65"/>
    </row>
    <row r="401" spans="1:26" ht="12.75" customHeight="1">
      <c r="A401" s="64" t="s">
        <v>1461</v>
      </c>
      <c r="B401" s="65" t="s">
        <v>1401</v>
      </c>
      <c r="C401" s="65" t="s">
        <v>1462</v>
      </c>
      <c r="D401" s="65" t="s">
        <v>1462</v>
      </c>
      <c r="E401" s="65" t="s">
        <v>1534</v>
      </c>
      <c r="F401" s="65" t="s">
        <v>1532</v>
      </c>
      <c r="G401" s="65" t="s">
        <v>1158</v>
      </c>
      <c r="H401" s="65" t="s">
        <v>745</v>
      </c>
      <c r="I401" s="65" t="s">
        <v>1535</v>
      </c>
      <c r="J401" s="65" t="s">
        <v>125</v>
      </c>
      <c r="K401" s="65"/>
      <c r="L401" s="65"/>
      <c r="M401" s="65"/>
      <c r="N401" s="65"/>
      <c r="O401" s="65"/>
      <c r="P401" s="65"/>
      <c r="Q401" s="65"/>
      <c r="R401" s="65"/>
      <c r="S401" s="65"/>
      <c r="T401" s="65"/>
      <c r="U401" s="65"/>
      <c r="V401" s="65"/>
      <c r="W401" s="65"/>
      <c r="X401" s="65"/>
      <c r="Y401" s="65"/>
      <c r="Z401" s="65"/>
    </row>
    <row r="402" spans="1:26" ht="12.75" customHeight="1">
      <c r="A402" s="64" t="s">
        <v>1461</v>
      </c>
      <c r="B402" s="65" t="s">
        <v>1401</v>
      </c>
      <c r="C402" s="65" t="s">
        <v>1462</v>
      </c>
      <c r="D402" s="65" t="s">
        <v>1462</v>
      </c>
      <c r="E402" s="65" t="s">
        <v>1536</v>
      </c>
      <c r="F402" s="65" t="s">
        <v>1537</v>
      </c>
      <c r="G402" s="65" t="s">
        <v>1158</v>
      </c>
      <c r="H402" s="65" t="s">
        <v>1538</v>
      </c>
      <c r="I402" s="65" t="s">
        <v>1539</v>
      </c>
      <c r="J402" s="65" t="s">
        <v>125</v>
      </c>
      <c r="K402" s="65"/>
      <c r="L402" s="65"/>
      <c r="M402" s="65"/>
      <c r="N402" s="65"/>
      <c r="O402" s="65"/>
      <c r="P402" s="65"/>
      <c r="Q402" s="65"/>
      <c r="R402" s="65"/>
      <c r="S402" s="65"/>
      <c r="T402" s="65"/>
      <c r="U402" s="65"/>
      <c r="V402" s="65"/>
      <c r="W402" s="65"/>
      <c r="X402" s="65"/>
      <c r="Y402" s="65"/>
      <c r="Z402" s="65"/>
    </row>
    <row r="403" spans="1:26" ht="12.75" customHeight="1">
      <c r="A403" s="64" t="s">
        <v>1461</v>
      </c>
      <c r="B403" s="65" t="s">
        <v>1401</v>
      </c>
      <c r="C403" s="65" t="s">
        <v>1462</v>
      </c>
      <c r="D403" s="65" t="s">
        <v>1462</v>
      </c>
      <c r="E403" s="65" t="s">
        <v>1540</v>
      </c>
      <c r="F403" s="65" t="s">
        <v>1541</v>
      </c>
      <c r="G403" s="65" t="s">
        <v>1158</v>
      </c>
      <c r="H403" s="65" t="s">
        <v>1542</v>
      </c>
      <c r="I403" s="65" t="s">
        <v>1543</v>
      </c>
      <c r="J403" s="65" t="s">
        <v>125</v>
      </c>
      <c r="K403" s="65"/>
      <c r="L403" s="65"/>
      <c r="M403" s="65"/>
      <c r="N403" s="65"/>
      <c r="O403" s="65"/>
      <c r="P403" s="65"/>
      <c r="Q403" s="65"/>
      <c r="R403" s="65"/>
      <c r="S403" s="65"/>
      <c r="T403" s="65"/>
      <c r="U403" s="65"/>
      <c r="V403" s="65"/>
      <c r="W403" s="65"/>
      <c r="X403" s="65"/>
      <c r="Y403" s="65"/>
      <c r="Z403" s="65"/>
    </row>
    <row r="404" spans="1:26" ht="12.75" customHeight="1">
      <c r="A404" s="64" t="s">
        <v>1461</v>
      </c>
      <c r="B404" s="65" t="s">
        <v>1401</v>
      </c>
      <c r="C404" s="65" t="s">
        <v>1462</v>
      </c>
      <c r="D404" s="65" t="s">
        <v>1462</v>
      </c>
      <c r="E404" s="65" t="s">
        <v>1544</v>
      </c>
      <c r="F404" s="65" t="s">
        <v>1545</v>
      </c>
      <c r="G404" s="65" t="s">
        <v>1158</v>
      </c>
      <c r="H404" s="65" t="s">
        <v>1542</v>
      </c>
      <c r="I404" s="65" t="s">
        <v>1546</v>
      </c>
      <c r="J404" s="65" t="s">
        <v>125</v>
      </c>
      <c r="K404" s="65"/>
      <c r="L404" s="65"/>
      <c r="M404" s="65"/>
      <c r="N404" s="65"/>
      <c r="O404" s="65"/>
      <c r="P404" s="65"/>
      <c r="Q404" s="65"/>
      <c r="R404" s="65"/>
      <c r="S404" s="65"/>
      <c r="T404" s="65"/>
      <c r="U404" s="65"/>
      <c r="V404" s="65"/>
      <c r="W404" s="65"/>
      <c r="X404" s="65"/>
      <c r="Y404" s="65"/>
      <c r="Z404" s="65"/>
    </row>
    <row r="405" spans="1:26" ht="12.75" customHeight="1">
      <c r="A405" s="64" t="s">
        <v>1461</v>
      </c>
      <c r="B405" s="65" t="s">
        <v>1401</v>
      </c>
      <c r="C405" s="65" t="s">
        <v>1462</v>
      </c>
      <c r="D405" s="65" t="s">
        <v>1462</v>
      </c>
      <c r="E405" s="65" t="s">
        <v>1547</v>
      </c>
      <c r="F405" s="65" t="s">
        <v>1548</v>
      </c>
      <c r="G405" s="65" t="s">
        <v>1158</v>
      </c>
      <c r="H405" s="65" t="s">
        <v>1542</v>
      </c>
      <c r="I405" s="65" t="s">
        <v>1549</v>
      </c>
      <c r="J405" s="65" t="s">
        <v>125</v>
      </c>
      <c r="K405" s="65"/>
      <c r="L405" s="65"/>
      <c r="M405" s="65"/>
      <c r="N405" s="65"/>
      <c r="O405" s="65"/>
      <c r="P405" s="65"/>
      <c r="Q405" s="65"/>
      <c r="R405" s="65"/>
      <c r="S405" s="65"/>
      <c r="T405" s="65"/>
      <c r="U405" s="65"/>
      <c r="V405" s="65"/>
      <c r="W405" s="65"/>
      <c r="X405" s="65"/>
      <c r="Y405" s="65"/>
      <c r="Z405" s="65"/>
    </row>
    <row r="406" spans="1:26" ht="12.75" customHeight="1">
      <c r="A406" s="64" t="s">
        <v>1461</v>
      </c>
      <c r="B406" s="65" t="s">
        <v>1401</v>
      </c>
      <c r="C406" s="65" t="s">
        <v>1462</v>
      </c>
      <c r="D406" s="65" t="s">
        <v>1462</v>
      </c>
      <c r="E406" s="65" t="s">
        <v>1550</v>
      </c>
      <c r="F406" s="65" t="s">
        <v>1551</v>
      </c>
      <c r="G406" s="65" t="s">
        <v>1158</v>
      </c>
      <c r="H406" s="65" t="s">
        <v>1542</v>
      </c>
      <c r="I406" s="65" t="s">
        <v>1552</v>
      </c>
      <c r="J406" s="65" t="s">
        <v>125</v>
      </c>
      <c r="K406" s="65"/>
      <c r="L406" s="65"/>
      <c r="M406" s="65"/>
      <c r="N406" s="65"/>
      <c r="O406" s="65"/>
      <c r="P406" s="65"/>
      <c r="Q406" s="65"/>
      <c r="R406" s="65"/>
      <c r="S406" s="65"/>
      <c r="T406" s="65"/>
      <c r="U406" s="65"/>
      <c r="V406" s="65"/>
      <c r="W406" s="65"/>
      <c r="X406" s="65"/>
      <c r="Y406" s="65"/>
      <c r="Z406" s="65"/>
    </row>
    <row r="407" spans="1:26" ht="12.75" customHeight="1">
      <c r="A407" s="64" t="s">
        <v>1461</v>
      </c>
      <c r="B407" s="65" t="s">
        <v>1401</v>
      </c>
      <c r="C407" s="65" t="s">
        <v>1462</v>
      </c>
      <c r="D407" s="65" t="s">
        <v>1462</v>
      </c>
      <c r="E407" s="65" t="s">
        <v>1553</v>
      </c>
      <c r="F407" s="65" t="s">
        <v>1554</v>
      </c>
      <c r="G407" s="65" t="s">
        <v>1158</v>
      </c>
      <c r="H407" s="65" t="s">
        <v>1555</v>
      </c>
      <c r="I407" s="65" t="s">
        <v>1556</v>
      </c>
      <c r="J407" s="65" t="s">
        <v>125</v>
      </c>
      <c r="K407" s="65"/>
      <c r="L407" s="65"/>
      <c r="M407" s="65"/>
      <c r="N407" s="65"/>
      <c r="O407" s="65"/>
      <c r="P407" s="65"/>
      <c r="Q407" s="65"/>
      <c r="R407" s="65"/>
      <c r="S407" s="65"/>
      <c r="T407" s="65"/>
      <c r="U407" s="65"/>
      <c r="V407" s="65"/>
      <c r="W407" s="65"/>
      <c r="X407" s="65"/>
      <c r="Y407" s="65"/>
      <c r="Z407" s="65"/>
    </row>
    <row r="408" spans="1:26" ht="12.75" customHeight="1">
      <c r="A408" s="64" t="s">
        <v>1461</v>
      </c>
      <c r="B408" s="65" t="s">
        <v>1401</v>
      </c>
      <c r="C408" s="65" t="s">
        <v>1462</v>
      </c>
      <c r="D408" s="65" t="s">
        <v>1462</v>
      </c>
      <c r="E408" s="65" t="s">
        <v>1557</v>
      </c>
      <c r="F408" s="65" t="s">
        <v>1558</v>
      </c>
      <c r="G408" s="65" t="s">
        <v>1158</v>
      </c>
      <c r="H408" s="65" t="s">
        <v>1179</v>
      </c>
      <c r="I408" s="65" t="s">
        <v>1559</v>
      </c>
      <c r="J408" s="65" t="s">
        <v>125</v>
      </c>
      <c r="K408" s="65"/>
      <c r="L408" s="65"/>
      <c r="M408" s="65"/>
      <c r="N408" s="65"/>
      <c r="O408" s="65"/>
      <c r="P408" s="65"/>
      <c r="Q408" s="65"/>
      <c r="R408" s="65"/>
      <c r="S408" s="65"/>
      <c r="T408" s="65"/>
      <c r="U408" s="65"/>
      <c r="V408" s="65"/>
      <c r="W408" s="65"/>
      <c r="X408" s="65"/>
      <c r="Y408" s="65"/>
      <c r="Z408" s="65"/>
    </row>
    <row r="409" spans="1:26" ht="12.75" customHeight="1">
      <c r="A409" s="64" t="s">
        <v>1461</v>
      </c>
      <c r="B409" s="65" t="s">
        <v>1401</v>
      </c>
      <c r="C409" s="65" t="s">
        <v>1462</v>
      </c>
      <c r="D409" s="65" t="s">
        <v>1462</v>
      </c>
      <c r="E409" s="65" t="s">
        <v>1560</v>
      </c>
      <c r="F409" s="65" t="s">
        <v>1561</v>
      </c>
      <c r="G409" s="65" t="s">
        <v>1562</v>
      </c>
      <c r="H409" s="65" t="s">
        <v>745</v>
      </c>
      <c r="I409" s="65" t="s">
        <v>1563</v>
      </c>
      <c r="J409" s="65" t="s">
        <v>125</v>
      </c>
      <c r="K409" s="65"/>
      <c r="L409" s="65"/>
      <c r="M409" s="65"/>
      <c r="N409" s="65"/>
      <c r="O409" s="65"/>
      <c r="P409" s="65"/>
      <c r="Q409" s="65"/>
      <c r="R409" s="65"/>
      <c r="S409" s="65"/>
      <c r="T409" s="65"/>
      <c r="U409" s="65"/>
      <c r="V409" s="65"/>
      <c r="W409" s="65"/>
      <c r="X409" s="65"/>
      <c r="Y409" s="65"/>
      <c r="Z409" s="65"/>
    </row>
    <row r="410" spans="1:26" ht="12.75" customHeight="1">
      <c r="A410" s="64" t="s">
        <v>1461</v>
      </c>
      <c r="B410" s="65" t="s">
        <v>1401</v>
      </c>
      <c r="C410" s="65" t="s">
        <v>1462</v>
      </c>
      <c r="D410" s="65" t="s">
        <v>1462</v>
      </c>
      <c r="E410" s="65" t="s">
        <v>1564</v>
      </c>
      <c r="F410" s="65" t="s">
        <v>1565</v>
      </c>
      <c r="G410" s="65" t="s">
        <v>1186</v>
      </c>
      <c r="H410" s="65" t="s">
        <v>745</v>
      </c>
      <c r="I410" s="65" t="s">
        <v>1566</v>
      </c>
      <c r="J410" s="65" t="s">
        <v>125</v>
      </c>
      <c r="K410" s="65"/>
      <c r="L410" s="65"/>
      <c r="M410" s="65"/>
      <c r="N410" s="65"/>
      <c r="O410" s="65"/>
      <c r="P410" s="65"/>
      <c r="Q410" s="65"/>
      <c r="R410" s="65"/>
      <c r="S410" s="65"/>
      <c r="T410" s="65"/>
      <c r="U410" s="65"/>
      <c r="V410" s="65"/>
      <c r="W410" s="65"/>
      <c r="X410" s="65"/>
      <c r="Y410" s="65"/>
      <c r="Z410" s="65"/>
    </row>
    <row r="411" spans="1:26" ht="12.75" customHeight="1">
      <c r="A411" s="64" t="s">
        <v>1461</v>
      </c>
      <c r="B411" s="65" t="s">
        <v>1401</v>
      </c>
      <c r="C411" s="65" t="s">
        <v>1462</v>
      </c>
      <c r="D411" s="65" t="s">
        <v>1462</v>
      </c>
      <c r="E411" s="65" t="s">
        <v>1567</v>
      </c>
      <c r="F411" s="65" t="s">
        <v>1568</v>
      </c>
      <c r="G411" s="65" t="s">
        <v>1097</v>
      </c>
      <c r="H411" s="65" t="s">
        <v>1569</v>
      </c>
      <c r="I411" s="65" t="s">
        <v>1570</v>
      </c>
      <c r="J411" s="65" t="s">
        <v>125</v>
      </c>
      <c r="K411" s="65"/>
      <c r="L411" s="65"/>
      <c r="M411" s="65"/>
      <c r="N411" s="65"/>
      <c r="O411" s="65"/>
      <c r="P411" s="65"/>
      <c r="Q411" s="65"/>
      <c r="R411" s="65"/>
      <c r="S411" s="65"/>
      <c r="T411" s="65"/>
      <c r="U411" s="65"/>
      <c r="V411" s="65"/>
      <c r="W411" s="65"/>
      <c r="X411" s="65"/>
      <c r="Y411" s="65"/>
      <c r="Z411" s="65"/>
    </row>
    <row r="412" spans="1:26" ht="12.75" customHeight="1">
      <c r="A412" s="64" t="s">
        <v>1461</v>
      </c>
      <c r="B412" s="65" t="s">
        <v>1401</v>
      </c>
      <c r="C412" s="65" t="s">
        <v>1462</v>
      </c>
      <c r="D412" s="65" t="s">
        <v>1462</v>
      </c>
      <c r="E412" s="65" t="s">
        <v>1571</v>
      </c>
      <c r="F412" s="65" t="s">
        <v>1572</v>
      </c>
      <c r="G412" s="65" t="s">
        <v>758</v>
      </c>
      <c r="H412" s="65" t="s">
        <v>1358</v>
      </c>
      <c r="I412" s="65" t="s">
        <v>1573</v>
      </c>
      <c r="J412" s="65" t="s">
        <v>125</v>
      </c>
      <c r="K412" s="65"/>
      <c r="L412" s="65"/>
      <c r="M412" s="65"/>
      <c r="N412" s="65"/>
      <c r="O412" s="65"/>
      <c r="P412" s="65"/>
      <c r="Q412" s="65"/>
      <c r="R412" s="65"/>
      <c r="S412" s="65"/>
      <c r="T412" s="65"/>
      <c r="U412" s="65"/>
      <c r="V412" s="65"/>
      <c r="W412" s="65"/>
      <c r="X412" s="65"/>
      <c r="Y412" s="65"/>
      <c r="Z412" s="65"/>
    </row>
    <row r="413" spans="1:26" ht="12.75" customHeight="1">
      <c r="A413" s="64" t="s">
        <v>1461</v>
      </c>
      <c r="B413" s="65" t="s">
        <v>1401</v>
      </c>
      <c r="C413" s="65" t="s">
        <v>1462</v>
      </c>
      <c r="D413" s="65" t="s">
        <v>1462</v>
      </c>
      <c r="E413" s="65" t="s">
        <v>1574</v>
      </c>
      <c r="F413" s="65" t="s">
        <v>1575</v>
      </c>
      <c r="G413" s="65" t="s">
        <v>1217</v>
      </c>
      <c r="H413" s="65" t="s">
        <v>1576</v>
      </c>
      <c r="I413" s="65" t="s">
        <v>1577</v>
      </c>
      <c r="J413" s="65" t="s">
        <v>125</v>
      </c>
      <c r="K413" s="65"/>
      <c r="L413" s="65"/>
      <c r="M413" s="65"/>
      <c r="N413" s="65"/>
      <c r="O413" s="65"/>
      <c r="P413" s="65"/>
      <c r="Q413" s="65"/>
      <c r="R413" s="65"/>
      <c r="S413" s="65"/>
      <c r="T413" s="65"/>
      <c r="U413" s="65"/>
      <c r="V413" s="65"/>
      <c r="W413" s="65"/>
      <c r="X413" s="65"/>
      <c r="Y413" s="65"/>
      <c r="Z413" s="65"/>
    </row>
    <row r="414" spans="1:26" ht="12.75" customHeight="1">
      <c r="A414" s="64" t="s">
        <v>1461</v>
      </c>
      <c r="B414" s="65" t="s">
        <v>1401</v>
      </c>
      <c r="C414" s="65" t="s">
        <v>1462</v>
      </c>
      <c r="D414" s="65" t="s">
        <v>1462</v>
      </c>
      <c r="E414" s="65" t="s">
        <v>1578</v>
      </c>
      <c r="F414" s="65" t="s">
        <v>1579</v>
      </c>
      <c r="G414" s="65" t="s">
        <v>1226</v>
      </c>
      <c r="H414" s="65" t="s">
        <v>745</v>
      </c>
      <c r="I414" s="65" t="s">
        <v>1580</v>
      </c>
      <c r="J414" s="65" t="s">
        <v>125</v>
      </c>
      <c r="K414" s="65"/>
      <c r="L414" s="65"/>
      <c r="M414" s="65"/>
      <c r="N414" s="65"/>
      <c r="O414" s="65"/>
      <c r="P414" s="65"/>
      <c r="Q414" s="65"/>
      <c r="R414" s="65"/>
      <c r="S414" s="65"/>
      <c r="T414" s="65"/>
      <c r="U414" s="65"/>
      <c r="V414" s="65"/>
      <c r="W414" s="65"/>
      <c r="X414" s="65"/>
      <c r="Y414" s="65"/>
      <c r="Z414" s="65"/>
    </row>
    <row r="415" spans="1:26" ht="12.75" customHeight="1">
      <c r="A415" s="64" t="s">
        <v>1461</v>
      </c>
      <c r="B415" s="65" t="s">
        <v>1401</v>
      </c>
      <c r="C415" s="65" t="s">
        <v>1462</v>
      </c>
      <c r="D415" s="65" t="s">
        <v>1462</v>
      </c>
      <c r="E415" s="65" t="s">
        <v>1581</v>
      </c>
      <c r="F415" s="65" t="s">
        <v>1582</v>
      </c>
      <c r="G415" s="65" t="s">
        <v>1583</v>
      </c>
      <c r="H415" s="65" t="s">
        <v>1584</v>
      </c>
      <c r="I415" s="65" t="s">
        <v>1585</v>
      </c>
      <c r="J415" s="65" t="s">
        <v>125</v>
      </c>
      <c r="K415" s="65"/>
      <c r="L415" s="65"/>
      <c r="M415" s="65"/>
      <c r="N415" s="65"/>
      <c r="O415" s="65"/>
      <c r="P415" s="65"/>
      <c r="Q415" s="65"/>
      <c r="R415" s="65"/>
      <c r="S415" s="65"/>
      <c r="T415" s="65"/>
      <c r="U415" s="65"/>
      <c r="V415" s="65"/>
      <c r="W415" s="65"/>
      <c r="X415" s="65"/>
      <c r="Y415" s="65"/>
      <c r="Z415" s="65"/>
    </row>
    <row r="416" spans="1:26" ht="12.75" customHeight="1">
      <c r="A416" s="64" t="s">
        <v>1461</v>
      </c>
      <c r="B416" s="65" t="s">
        <v>1401</v>
      </c>
      <c r="C416" s="65" t="s">
        <v>1462</v>
      </c>
      <c r="D416" s="65" t="s">
        <v>1462</v>
      </c>
      <c r="E416" s="65" t="s">
        <v>1586</v>
      </c>
      <c r="F416" s="65" t="s">
        <v>1587</v>
      </c>
      <c r="G416" s="65" t="s">
        <v>1588</v>
      </c>
      <c r="H416" s="65" t="s">
        <v>745</v>
      </c>
      <c r="I416" s="65" t="s">
        <v>1589</v>
      </c>
      <c r="J416" s="65" t="s">
        <v>125</v>
      </c>
      <c r="K416" s="65"/>
      <c r="L416" s="65"/>
      <c r="M416" s="65"/>
      <c r="N416" s="65"/>
      <c r="O416" s="65"/>
      <c r="P416" s="65"/>
      <c r="Q416" s="65"/>
      <c r="R416" s="65"/>
      <c r="S416" s="65"/>
      <c r="T416" s="65"/>
      <c r="U416" s="65"/>
      <c r="V416" s="65"/>
      <c r="W416" s="65"/>
      <c r="X416" s="65"/>
      <c r="Y416" s="65"/>
      <c r="Z416" s="65"/>
    </row>
    <row r="417" spans="1:26" ht="12.75" customHeight="1">
      <c r="A417" s="64" t="s">
        <v>1461</v>
      </c>
      <c r="B417" s="65" t="s">
        <v>1401</v>
      </c>
      <c r="C417" s="65" t="s">
        <v>1462</v>
      </c>
      <c r="D417" s="65" t="s">
        <v>1462</v>
      </c>
      <c r="E417" s="65" t="s">
        <v>1590</v>
      </c>
      <c r="F417" s="65" t="s">
        <v>1591</v>
      </c>
      <c r="G417" s="65" t="s">
        <v>1236</v>
      </c>
      <c r="H417" s="65" t="s">
        <v>1592</v>
      </c>
      <c r="I417" s="65" t="s">
        <v>1593</v>
      </c>
      <c r="J417" s="65" t="s">
        <v>125</v>
      </c>
      <c r="K417" s="65"/>
      <c r="L417" s="65"/>
      <c r="M417" s="65"/>
      <c r="N417" s="65"/>
      <c r="O417" s="65"/>
      <c r="P417" s="65"/>
      <c r="Q417" s="65"/>
      <c r="R417" s="65"/>
      <c r="S417" s="65"/>
      <c r="T417" s="65"/>
      <c r="U417" s="65"/>
      <c r="V417" s="65"/>
      <c r="W417" s="65"/>
      <c r="X417" s="65"/>
      <c r="Y417" s="65"/>
      <c r="Z417" s="65"/>
    </row>
    <row r="418" spans="1:26" ht="12.75" customHeight="1">
      <c r="A418" s="64" t="s">
        <v>1461</v>
      </c>
      <c r="B418" s="65" t="s">
        <v>1401</v>
      </c>
      <c r="C418" s="65" t="s">
        <v>1462</v>
      </c>
      <c r="D418" s="65" t="s">
        <v>1462</v>
      </c>
      <c r="E418" s="65" t="s">
        <v>1594</v>
      </c>
      <c r="F418" s="65" t="s">
        <v>1595</v>
      </c>
      <c r="G418" s="65" t="s">
        <v>1261</v>
      </c>
      <c r="H418" s="65" t="s">
        <v>1596</v>
      </c>
      <c r="I418" s="65" t="s">
        <v>1597</v>
      </c>
      <c r="J418" s="65" t="s">
        <v>125</v>
      </c>
      <c r="K418" s="65"/>
      <c r="L418" s="65"/>
      <c r="M418" s="65"/>
      <c r="N418" s="65"/>
      <c r="O418" s="65"/>
      <c r="P418" s="65"/>
      <c r="Q418" s="65"/>
      <c r="R418" s="65"/>
      <c r="S418" s="65"/>
      <c r="T418" s="65"/>
      <c r="U418" s="65"/>
      <c r="V418" s="65"/>
      <c r="W418" s="65"/>
      <c r="X418" s="65"/>
      <c r="Y418" s="65"/>
      <c r="Z418" s="65"/>
    </row>
    <row r="419" spans="1:26" ht="12.75" customHeight="1">
      <c r="A419" s="64" t="s">
        <v>1461</v>
      </c>
      <c r="B419" s="65" t="s">
        <v>1401</v>
      </c>
      <c r="C419" s="65" t="s">
        <v>1462</v>
      </c>
      <c r="D419" s="65" t="s">
        <v>1462</v>
      </c>
      <c r="E419" s="65" t="s">
        <v>1598</v>
      </c>
      <c r="F419" s="65" t="s">
        <v>1599</v>
      </c>
      <c r="G419" s="65" t="s">
        <v>1600</v>
      </c>
      <c r="H419" s="65" t="s">
        <v>1601</v>
      </c>
      <c r="I419" s="65" t="s">
        <v>1602</v>
      </c>
      <c r="J419" s="65" t="s">
        <v>125</v>
      </c>
      <c r="K419" s="65"/>
      <c r="L419" s="65"/>
      <c r="M419" s="65"/>
      <c r="N419" s="65"/>
      <c r="O419" s="65"/>
      <c r="P419" s="65"/>
      <c r="Q419" s="65"/>
      <c r="R419" s="65"/>
      <c r="S419" s="65"/>
      <c r="T419" s="65"/>
      <c r="U419" s="65"/>
      <c r="V419" s="65"/>
      <c r="W419" s="65"/>
      <c r="X419" s="65"/>
      <c r="Y419" s="65"/>
      <c r="Z419" s="65"/>
    </row>
    <row r="420" spans="1:26" ht="12.75" customHeight="1">
      <c r="A420" s="64" t="s">
        <v>1461</v>
      </c>
      <c r="B420" s="65" t="s">
        <v>1401</v>
      </c>
      <c r="C420" s="65" t="s">
        <v>1462</v>
      </c>
      <c r="D420" s="65" t="s">
        <v>1462</v>
      </c>
      <c r="E420" s="65" t="s">
        <v>1603</v>
      </c>
      <c r="F420" s="65" t="s">
        <v>1604</v>
      </c>
      <c r="G420" s="65" t="s">
        <v>758</v>
      </c>
      <c r="H420" s="65" t="s">
        <v>759</v>
      </c>
      <c r="I420" s="65" t="s">
        <v>1605</v>
      </c>
      <c r="J420" s="65" t="s">
        <v>125</v>
      </c>
      <c r="K420" s="65"/>
      <c r="L420" s="65"/>
      <c r="M420" s="65"/>
      <c r="N420" s="65"/>
      <c r="O420" s="65"/>
      <c r="P420" s="65"/>
      <c r="Q420" s="65"/>
      <c r="R420" s="65"/>
      <c r="S420" s="65"/>
      <c r="T420" s="65"/>
      <c r="U420" s="65"/>
      <c r="V420" s="65"/>
      <c r="W420" s="65"/>
      <c r="X420" s="65"/>
      <c r="Y420" s="65"/>
      <c r="Z420" s="65"/>
    </row>
    <row r="421" spans="1:26" ht="12.75" customHeight="1">
      <c r="A421" s="64" t="s">
        <v>1461</v>
      </c>
      <c r="B421" s="65" t="s">
        <v>1401</v>
      </c>
      <c r="C421" s="65" t="s">
        <v>1462</v>
      </c>
      <c r="D421" s="65" t="s">
        <v>1462</v>
      </c>
      <c r="E421" s="65" t="s">
        <v>1606</v>
      </c>
      <c r="F421" s="65" t="s">
        <v>1607</v>
      </c>
      <c r="G421" s="65" t="s">
        <v>758</v>
      </c>
      <c r="H421" s="65" t="s">
        <v>1277</v>
      </c>
      <c r="I421" s="65" t="s">
        <v>1608</v>
      </c>
      <c r="J421" s="65" t="s">
        <v>125</v>
      </c>
      <c r="K421" s="65"/>
      <c r="L421" s="65"/>
      <c r="M421" s="65"/>
      <c r="N421" s="65"/>
      <c r="O421" s="65"/>
      <c r="P421" s="65"/>
      <c r="Q421" s="65"/>
      <c r="R421" s="65"/>
      <c r="S421" s="65"/>
      <c r="T421" s="65"/>
      <c r="U421" s="65"/>
      <c r="V421" s="65"/>
      <c r="W421" s="65"/>
      <c r="X421" s="65"/>
      <c r="Y421" s="65"/>
      <c r="Z421" s="65"/>
    </row>
    <row r="422" spans="1:26" ht="12.75" customHeight="1">
      <c r="A422" s="64" t="s">
        <v>1461</v>
      </c>
      <c r="B422" s="65" t="s">
        <v>1401</v>
      </c>
      <c r="C422" s="65" t="s">
        <v>1462</v>
      </c>
      <c r="D422" s="65" t="s">
        <v>1462</v>
      </c>
      <c r="E422" s="65" t="s">
        <v>1609</v>
      </c>
      <c r="F422" s="65" t="s">
        <v>1610</v>
      </c>
      <c r="G422" s="65" t="s">
        <v>758</v>
      </c>
      <c r="H422" s="65" t="s">
        <v>1292</v>
      </c>
      <c r="I422" s="65" t="s">
        <v>1611</v>
      </c>
      <c r="J422" s="65" t="s">
        <v>125</v>
      </c>
      <c r="K422" s="65"/>
      <c r="L422" s="65"/>
      <c r="M422" s="65"/>
      <c r="N422" s="65"/>
      <c r="O422" s="65"/>
      <c r="P422" s="65"/>
      <c r="Q422" s="65"/>
      <c r="R422" s="65"/>
      <c r="S422" s="65"/>
      <c r="T422" s="65"/>
      <c r="U422" s="65"/>
      <c r="V422" s="65"/>
      <c r="W422" s="65"/>
      <c r="X422" s="65"/>
      <c r="Y422" s="65"/>
      <c r="Z422" s="65"/>
    </row>
    <row r="423" spans="1:26" ht="12.75" customHeight="1">
      <c r="A423" s="64" t="s">
        <v>1461</v>
      </c>
      <c r="B423" s="65" t="s">
        <v>1401</v>
      </c>
      <c r="C423" s="65" t="s">
        <v>1462</v>
      </c>
      <c r="D423" s="65" t="s">
        <v>1462</v>
      </c>
      <c r="E423" s="65" t="s">
        <v>1612</v>
      </c>
      <c r="F423" s="65" t="s">
        <v>1613</v>
      </c>
      <c r="G423" s="65" t="s">
        <v>758</v>
      </c>
      <c r="H423" s="65" t="s">
        <v>1614</v>
      </c>
      <c r="I423" s="65" t="s">
        <v>1615</v>
      </c>
      <c r="J423" s="65" t="s">
        <v>125</v>
      </c>
      <c r="K423" s="65"/>
      <c r="L423" s="65"/>
      <c r="M423" s="65"/>
      <c r="N423" s="65"/>
      <c r="O423" s="65"/>
      <c r="P423" s="65"/>
      <c r="Q423" s="65"/>
      <c r="R423" s="65"/>
      <c r="S423" s="65"/>
      <c r="T423" s="65"/>
      <c r="U423" s="65"/>
      <c r="V423" s="65"/>
      <c r="W423" s="65"/>
      <c r="X423" s="65"/>
      <c r="Y423" s="65"/>
      <c r="Z423" s="65"/>
    </row>
    <row r="424" spans="1:26" ht="12.75" customHeight="1">
      <c r="A424" s="64" t="s">
        <v>1461</v>
      </c>
      <c r="B424" s="65" t="s">
        <v>1401</v>
      </c>
      <c r="C424" s="65" t="s">
        <v>1462</v>
      </c>
      <c r="D424" s="65" t="s">
        <v>1462</v>
      </c>
      <c r="E424" s="65" t="s">
        <v>1616</v>
      </c>
      <c r="F424" s="65" t="s">
        <v>1617</v>
      </c>
      <c r="G424" s="65" t="s">
        <v>1618</v>
      </c>
      <c r="H424" s="65" t="s">
        <v>1619</v>
      </c>
      <c r="I424" s="65" t="s">
        <v>1620</v>
      </c>
      <c r="J424" s="65" t="s">
        <v>125</v>
      </c>
      <c r="K424" s="65"/>
      <c r="L424" s="65"/>
      <c r="M424" s="65"/>
      <c r="N424" s="65"/>
      <c r="O424" s="65"/>
      <c r="P424" s="65"/>
      <c r="Q424" s="65"/>
      <c r="R424" s="65"/>
      <c r="S424" s="65"/>
      <c r="T424" s="65"/>
      <c r="U424" s="65"/>
      <c r="V424" s="65"/>
      <c r="W424" s="65"/>
      <c r="X424" s="65"/>
      <c r="Y424" s="65"/>
      <c r="Z424" s="65"/>
    </row>
    <row r="425" spans="1:26" ht="12.75" customHeight="1">
      <c r="A425" s="64" t="s">
        <v>1461</v>
      </c>
      <c r="B425" s="65" t="s">
        <v>1401</v>
      </c>
      <c r="C425" s="65" t="s">
        <v>1462</v>
      </c>
      <c r="D425" s="65" t="s">
        <v>1462</v>
      </c>
      <c r="E425" s="65" t="s">
        <v>1621</v>
      </c>
      <c r="F425" s="65" t="s">
        <v>1622</v>
      </c>
      <c r="G425" s="65" t="s">
        <v>1618</v>
      </c>
      <c r="H425" s="65" t="s">
        <v>1623</v>
      </c>
      <c r="I425" s="65" t="s">
        <v>1624</v>
      </c>
      <c r="J425" s="65" t="s">
        <v>125</v>
      </c>
      <c r="K425" s="65"/>
      <c r="L425" s="65"/>
      <c r="M425" s="65"/>
      <c r="N425" s="65"/>
      <c r="O425" s="65"/>
      <c r="P425" s="65"/>
      <c r="Q425" s="65"/>
      <c r="R425" s="65"/>
      <c r="S425" s="65"/>
      <c r="T425" s="65"/>
      <c r="U425" s="65"/>
      <c r="V425" s="65"/>
      <c r="W425" s="65"/>
      <c r="X425" s="65"/>
      <c r="Y425" s="65"/>
      <c r="Z425" s="65"/>
    </row>
    <row r="426" spans="1:26" ht="12.75" customHeight="1">
      <c r="A426" s="64" t="s">
        <v>1461</v>
      </c>
      <c r="B426" s="65" t="s">
        <v>1401</v>
      </c>
      <c r="C426" s="65" t="s">
        <v>1462</v>
      </c>
      <c r="D426" s="65" t="s">
        <v>1462</v>
      </c>
      <c r="E426" s="65" t="s">
        <v>1625</v>
      </c>
      <c r="F426" s="65" t="s">
        <v>1626</v>
      </c>
      <c r="G426" s="65" t="s">
        <v>1627</v>
      </c>
      <c r="H426" s="65" t="s">
        <v>1627</v>
      </c>
      <c r="I426" s="65" t="s">
        <v>1628</v>
      </c>
      <c r="J426" s="65" t="s">
        <v>125</v>
      </c>
      <c r="K426" s="65"/>
      <c r="L426" s="65"/>
      <c r="M426" s="65"/>
      <c r="N426" s="65"/>
      <c r="O426" s="65"/>
      <c r="P426" s="65"/>
      <c r="Q426" s="65"/>
      <c r="R426" s="65"/>
      <c r="S426" s="65"/>
      <c r="T426" s="65"/>
      <c r="U426" s="65"/>
      <c r="V426" s="65"/>
      <c r="W426" s="65"/>
      <c r="X426" s="65"/>
      <c r="Y426" s="65"/>
      <c r="Z426" s="65"/>
    </row>
    <row r="427" spans="1:26" ht="12.75" customHeight="1">
      <c r="A427" s="64" t="s">
        <v>1461</v>
      </c>
      <c r="B427" s="65" t="s">
        <v>1401</v>
      </c>
      <c r="C427" s="65" t="s">
        <v>1462</v>
      </c>
      <c r="D427" s="65" t="s">
        <v>1462</v>
      </c>
      <c r="E427" s="65" t="s">
        <v>1629</v>
      </c>
      <c r="F427" s="65"/>
      <c r="G427" s="65"/>
      <c r="H427" s="65"/>
      <c r="I427" s="65" t="s">
        <v>1630</v>
      </c>
      <c r="J427" s="65" t="s">
        <v>125</v>
      </c>
      <c r="K427" s="65"/>
      <c r="L427" s="65"/>
      <c r="M427" s="65"/>
      <c r="N427" s="65"/>
      <c r="O427" s="65"/>
      <c r="P427" s="65"/>
      <c r="Q427" s="65"/>
      <c r="R427" s="65"/>
      <c r="S427" s="65"/>
      <c r="T427" s="65"/>
      <c r="U427" s="65"/>
      <c r="V427" s="65"/>
      <c r="W427" s="65"/>
      <c r="X427" s="65"/>
      <c r="Y427" s="65"/>
      <c r="Z427" s="65"/>
    </row>
    <row r="428" spans="1:26" ht="12.75" customHeight="1">
      <c r="A428" s="64" t="s">
        <v>1461</v>
      </c>
      <c r="B428" s="65" t="s">
        <v>1401</v>
      </c>
      <c r="C428" s="65" t="s">
        <v>1462</v>
      </c>
      <c r="D428" s="65" t="s">
        <v>1462</v>
      </c>
      <c r="E428" s="65" t="s">
        <v>1631</v>
      </c>
      <c r="F428" s="65" t="s">
        <v>1632</v>
      </c>
      <c r="G428" s="65"/>
      <c r="H428" s="65"/>
      <c r="I428" s="65" t="s">
        <v>1633</v>
      </c>
      <c r="J428" s="65" t="s">
        <v>125</v>
      </c>
      <c r="K428" s="65"/>
      <c r="L428" s="65"/>
      <c r="M428" s="65"/>
      <c r="N428" s="65"/>
      <c r="O428" s="65"/>
      <c r="P428" s="65"/>
      <c r="Q428" s="65"/>
      <c r="R428" s="65"/>
      <c r="S428" s="65"/>
      <c r="T428" s="65"/>
      <c r="U428" s="65"/>
      <c r="V428" s="65"/>
      <c r="W428" s="65"/>
      <c r="X428" s="65"/>
      <c r="Y428" s="65"/>
      <c r="Z428" s="65"/>
    </row>
    <row r="429" spans="1:26" ht="12.75" customHeight="1">
      <c r="A429" s="64" t="s">
        <v>1461</v>
      </c>
      <c r="B429" s="65" t="s">
        <v>1401</v>
      </c>
      <c r="C429" s="65" t="s">
        <v>1462</v>
      </c>
      <c r="D429" s="65" t="s">
        <v>1462</v>
      </c>
      <c r="E429" s="65" t="s">
        <v>1634</v>
      </c>
      <c r="F429" s="65" t="s">
        <v>1635</v>
      </c>
      <c r="G429" s="65"/>
      <c r="H429" s="65"/>
      <c r="I429" s="65" t="s">
        <v>1636</v>
      </c>
      <c r="J429" s="65" t="s">
        <v>125</v>
      </c>
      <c r="K429" s="65"/>
      <c r="L429" s="65"/>
      <c r="M429" s="65"/>
      <c r="N429" s="65"/>
      <c r="O429" s="65"/>
      <c r="P429" s="65"/>
      <c r="Q429" s="65"/>
      <c r="R429" s="65"/>
      <c r="S429" s="65"/>
      <c r="T429" s="65"/>
      <c r="U429" s="65"/>
      <c r="V429" s="65"/>
      <c r="W429" s="65"/>
      <c r="X429" s="65"/>
      <c r="Y429" s="65"/>
      <c r="Z429" s="65"/>
    </row>
    <row r="430" spans="1:26" ht="12.75" customHeight="1">
      <c r="A430" s="64" t="s">
        <v>1461</v>
      </c>
      <c r="B430" s="65" t="s">
        <v>1401</v>
      </c>
      <c r="C430" s="65" t="s">
        <v>1462</v>
      </c>
      <c r="D430" s="65" t="s">
        <v>1462</v>
      </c>
      <c r="E430" s="65" t="s">
        <v>1637</v>
      </c>
      <c r="F430" s="65" t="s">
        <v>1638</v>
      </c>
      <c r="G430" s="65" t="s">
        <v>1014</v>
      </c>
      <c r="H430" s="65" t="s">
        <v>745</v>
      </c>
      <c r="I430" s="65" t="s">
        <v>1639</v>
      </c>
      <c r="J430" s="65" t="s">
        <v>125</v>
      </c>
      <c r="K430" s="65"/>
      <c r="L430" s="65"/>
      <c r="M430" s="65"/>
      <c r="N430" s="65"/>
      <c r="O430" s="65"/>
      <c r="P430" s="65"/>
      <c r="Q430" s="65"/>
      <c r="R430" s="65"/>
      <c r="S430" s="65"/>
      <c r="T430" s="65"/>
      <c r="U430" s="65"/>
      <c r="V430" s="65"/>
      <c r="W430" s="65"/>
      <c r="X430" s="65"/>
      <c r="Y430" s="65"/>
      <c r="Z430" s="65"/>
    </row>
    <row r="431" spans="1:26" ht="12.75" customHeight="1">
      <c r="A431" s="64" t="s">
        <v>1461</v>
      </c>
      <c r="B431" s="65" t="s">
        <v>1401</v>
      </c>
      <c r="C431" s="65" t="s">
        <v>1462</v>
      </c>
      <c r="D431" s="65" t="s">
        <v>1462</v>
      </c>
      <c r="E431" s="65" t="s">
        <v>1640</v>
      </c>
      <c r="F431" s="65" t="s">
        <v>1632</v>
      </c>
      <c r="G431" s="65"/>
      <c r="H431" s="65"/>
      <c r="I431" s="65" t="s">
        <v>1641</v>
      </c>
      <c r="J431" s="65" t="s">
        <v>125</v>
      </c>
      <c r="K431" s="65"/>
      <c r="L431" s="65"/>
      <c r="M431" s="65"/>
      <c r="N431" s="65"/>
      <c r="O431" s="65"/>
      <c r="P431" s="65"/>
      <c r="Q431" s="65"/>
      <c r="R431" s="65"/>
      <c r="S431" s="65"/>
      <c r="T431" s="65"/>
      <c r="U431" s="65"/>
      <c r="V431" s="65"/>
      <c r="W431" s="65"/>
      <c r="X431" s="65"/>
      <c r="Y431" s="65"/>
      <c r="Z431" s="65"/>
    </row>
    <row r="432" spans="1:26" ht="12.75" customHeight="1">
      <c r="A432" s="64" t="s">
        <v>1461</v>
      </c>
      <c r="B432" s="65" t="s">
        <v>1401</v>
      </c>
      <c r="C432" s="65" t="s">
        <v>1462</v>
      </c>
      <c r="D432" s="65" t="s">
        <v>1462</v>
      </c>
      <c r="E432" s="65" t="s">
        <v>1642</v>
      </c>
      <c r="F432" s="65" t="s">
        <v>1643</v>
      </c>
      <c r="G432" s="65" t="s">
        <v>1096</v>
      </c>
      <c r="H432" s="65" t="s">
        <v>745</v>
      </c>
      <c r="I432" s="65" t="s">
        <v>1644</v>
      </c>
      <c r="J432" s="65" t="s">
        <v>125</v>
      </c>
      <c r="K432" s="65"/>
      <c r="L432" s="65"/>
      <c r="M432" s="65"/>
      <c r="N432" s="65"/>
      <c r="O432" s="65"/>
      <c r="P432" s="65"/>
      <c r="Q432" s="65"/>
      <c r="R432" s="65"/>
      <c r="S432" s="65"/>
      <c r="T432" s="65"/>
      <c r="U432" s="65"/>
      <c r="V432" s="65"/>
      <c r="W432" s="65"/>
      <c r="X432" s="65"/>
      <c r="Y432" s="65"/>
      <c r="Z432" s="65"/>
    </row>
    <row r="433" spans="1:26" ht="12.75" customHeight="1">
      <c r="A433" s="64" t="s">
        <v>1461</v>
      </c>
      <c r="B433" s="65" t="s">
        <v>1401</v>
      </c>
      <c r="C433" s="65" t="s">
        <v>1462</v>
      </c>
      <c r="D433" s="65" t="s">
        <v>1462</v>
      </c>
      <c r="E433" s="65" t="s">
        <v>1645</v>
      </c>
      <c r="F433" s="65" t="s">
        <v>1646</v>
      </c>
      <c r="G433" s="65"/>
      <c r="H433" s="65"/>
      <c r="I433" s="65" t="s">
        <v>1647</v>
      </c>
      <c r="J433" s="65" t="s">
        <v>125</v>
      </c>
      <c r="K433" s="65"/>
      <c r="L433" s="65"/>
      <c r="M433" s="65"/>
      <c r="N433" s="65"/>
      <c r="O433" s="65"/>
      <c r="P433" s="65"/>
      <c r="Q433" s="65"/>
      <c r="R433" s="65"/>
      <c r="S433" s="65"/>
      <c r="T433" s="65"/>
      <c r="U433" s="65"/>
      <c r="V433" s="65"/>
      <c r="W433" s="65"/>
      <c r="X433" s="65"/>
      <c r="Y433" s="65"/>
      <c r="Z433" s="65"/>
    </row>
    <row r="434" spans="1:26" ht="12.75" customHeight="1">
      <c r="A434" s="64" t="s">
        <v>1461</v>
      </c>
      <c r="B434" s="65" t="s">
        <v>1401</v>
      </c>
      <c r="C434" s="65" t="s">
        <v>1462</v>
      </c>
      <c r="D434" s="65" t="s">
        <v>1462</v>
      </c>
      <c r="E434" s="65" t="s">
        <v>1648</v>
      </c>
      <c r="F434" s="65" t="s">
        <v>1649</v>
      </c>
      <c r="G434" s="65"/>
      <c r="H434" s="65"/>
      <c r="I434" s="65" t="s">
        <v>1650</v>
      </c>
      <c r="J434" s="65" t="s">
        <v>125</v>
      </c>
      <c r="K434" s="65"/>
      <c r="L434" s="65"/>
      <c r="M434" s="65"/>
      <c r="N434" s="65"/>
      <c r="O434" s="65"/>
      <c r="P434" s="65"/>
      <c r="Q434" s="65"/>
      <c r="R434" s="65"/>
      <c r="S434" s="65"/>
      <c r="T434" s="65"/>
      <c r="U434" s="65"/>
      <c r="V434" s="65"/>
      <c r="W434" s="65"/>
      <c r="X434" s="65"/>
      <c r="Y434" s="65"/>
      <c r="Z434" s="65"/>
    </row>
    <row r="435" spans="1:26" ht="12.75" customHeight="1">
      <c r="A435" s="64" t="s">
        <v>1461</v>
      </c>
      <c r="B435" s="65" t="s">
        <v>1401</v>
      </c>
      <c r="C435" s="65" t="s">
        <v>1462</v>
      </c>
      <c r="D435" s="65" t="s">
        <v>1462</v>
      </c>
      <c r="E435" s="65" t="s">
        <v>1651</v>
      </c>
      <c r="F435" s="65" t="s">
        <v>1652</v>
      </c>
      <c r="G435" s="65"/>
      <c r="H435" s="65"/>
      <c r="I435" s="65" t="s">
        <v>1653</v>
      </c>
      <c r="J435" s="65" t="s">
        <v>125</v>
      </c>
      <c r="K435" s="65"/>
      <c r="L435" s="65"/>
      <c r="M435" s="65"/>
      <c r="N435" s="65"/>
      <c r="O435" s="65"/>
      <c r="P435" s="65"/>
      <c r="Q435" s="65"/>
      <c r="R435" s="65"/>
      <c r="S435" s="65"/>
      <c r="T435" s="65"/>
      <c r="U435" s="65"/>
      <c r="V435" s="65"/>
      <c r="W435" s="65"/>
      <c r="X435" s="65"/>
      <c r="Y435" s="65"/>
      <c r="Z435" s="65"/>
    </row>
    <row r="436" spans="1:26" ht="12.75" customHeight="1">
      <c r="A436" s="64" t="s">
        <v>1461</v>
      </c>
      <c r="B436" s="65" t="s">
        <v>1401</v>
      </c>
      <c r="C436" s="65" t="s">
        <v>1462</v>
      </c>
      <c r="D436" s="65" t="s">
        <v>1462</v>
      </c>
      <c r="E436" s="65" t="s">
        <v>1654</v>
      </c>
      <c r="F436" s="65" t="s">
        <v>1655</v>
      </c>
      <c r="G436" s="65" t="s">
        <v>1217</v>
      </c>
      <c r="H436" s="65" t="s">
        <v>1425</v>
      </c>
      <c r="I436" s="65" t="s">
        <v>1656</v>
      </c>
      <c r="J436" s="65" t="s">
        <v>556</v>
      </c>
      <c r="K436" s="65"/>
      <c r="L436" s="65"/>
      <c r="M436" s="65"/>
      <c r="N436" s="65"/>
      <c r="O436" s="65"/>
      <c r="P436" s="65"/>
      <c r="Q436" s="65"/>
      <c r="R436" s="65"/>
      <c r="S436" s="65"/>
      <c r="T436" s="65"/>
      <c r="U436" s="65"/>
      <c r="V436" s="65"/>
      <c r="W436" s="65"/>
      <c r="X436" s="65"/>
      <c r="Y436" s="65"/>
      <c r="Z436" s="65"/>
    </row>
    <row r="437" spans="1:26" ht="12.75" customHeight="1">
      <c r="A437" s="64" t="s">
        <v>1461</v>
      </c>
      <c r="B437" s="65" t="s">
        <v>1401</v>
      </c>
      <c r="C437" s="65" t="s">
        <v>1462</v>
      </c>
      <c r="D437" s="65" t="s">
        <v>1462</v>
      </c>
      <c r="E437" s="65" t="s">
        <v>1657</v>
      </c>
      <c r="F437" s="65" t="s">
        <v>1658</v>
      </c>
      <c r="G437" s="65" t="s">
        <v>1097</v>
      </c>
      <c r="H437" s="65" t="s">
        <v>1569</v>
      </c>
      <c r="I437" s="65" t="s">
        <v>1659</v>
      </c>
      <c r="J437" s="65" t="s">
        <v>556</v>
      </c>
      <c r="K437" s="65"/>
      <c r="L437" s="65"/>
      <c r="M437" s="65"/>
      <c r="N437" s="65"/>
      <c r="O437" s="65"/>
      <c r="P437" s="65"/>
      <c r="Q437" s="65"/>
      <c r="R437" s="65"/>
      <c r="S437" s="65"/>
      <c r="T437" s="65"/>
      <c r="U437" s="65"/>
      <c r="V437" s="65"/>
      <c r="W437" s="65"/>
      <c r="X437" s="65"/>
      <c r="Y437" s="65"/>
      <c r="Z437" s="65"/>
    </row>
    <row r="438" spans="1:26" ht="12.75" customHeight="1">
      <c r="A438" s="64" t="s">
        <v>1660</v>
      </c>
      <c r="B438" s="65" t="s">
        <v>1661</v>
      </c>
      <c r="C438" s="65" t="s">
        <v>1660</v>
      </c>
      <c r="D438" s="65" t="s">
        <v>1660</v>
      </c>
      <c r="E438" s="65" t="s">
        <v>1662</v>
      </c>
      <c r="F438" s="65"/>
      <c r="G438" s="65"/>
      <c r="H438" s="65"/>
      <c r="I438" s="65" t="s">
        <v>1663</v>
      </c>
      <c r="J438" s="65" t="s">
        <v>125</v>
      </c>
      <c r="K438" s="65"/>
      <c r="L438" s="65"/>
      <c r="M438" s="65"/>
      <c r="N438" s="65"/>
      <c r="O438" s="65"/>
      <c r="P438" s="65"/>
      <c r="Q438" s="65"/>
      <c r="R438" s="65"/>
      <c r="S438" s="65"/>
      <c r="T438" s="65"/>
      <c r="U438" s="65"/>
      <c r="V438" s="65"/>
      <c r="W438" s="65"/>
      <c r="X438" s="65"/>
      <c r="Y438" s="65"/>
      <c r="Z438" s="65"/>
    </row>
    <row r="439" spans="1:26" ht="12.75" customHeight="1">
      <c r="A439" s="64" t="s">
        <v>1660</v>
      </c>
      <c r="B439" s="65" t="s">
        <v>1661</v>
      </c>
      <c r="C439" s="65" t="s">
        <v>1660</v>
      </c>
      <c r="D439" s="65" t="s">
        <v>1660</v>
      </c>
      <c r="E439" s="65" t="s">
        <v>1664</v>
      </c>
      <c r="F439" s="65"/>
      <c r="G439" s="65"/>
      <c r="H439" s="65"/>
      <c r="I439" s="65" t="s">
        <v>1665</v>
      </c>
      <c r="J439" s="65" t="s">
        <v>125</v>
      </c>
      <c r="K439" s="65"/>
      <c r="L439" s="65"/>
      <c r="M439" s="65"/>
      <c r="N439" s="65"/>
      <c r="O439" s="65"/>
      <c r="P439" s="65"/>
      <c r="Q439" s="65"/>
      <c r="R439" s="65"/>
      <c r="S439" s="65"/>
      <c r="T439" s="65"/>
      <c r="U439" s="65"/>
      <c r="V439" s="65"/>
      <c r="W439" s="65"/>
      <c r="X439" s="65"/>
      <c r="Y439" s="65"/>
      <c r="Z439" s="65"/>
    </row>
    <row r="440" spans="1:26" ht="12.75" customHeight="1">
      <c r="A440" s="64" t="s">
        <v>1660</v>
      </c>
      <c r="B440" s="65" t="s">
        <v>1661</v>
      </c>
      <c r="C440" s="65" t="s">
        <v>1660</v>
      </c>
      <c r="D440" s="65" t="s">
        <v>1660</v>
      </c>
      <c r="E440" s="65" t="s">
        <v>1666</v>
      </c>
      <c r="F440" s="65"/>
      <c r="G440" s="65"/>
      <c r="H440" s="65"/>
      <c r="I440" s="65" t="s">
        <v>1667</v>
      </c>
      <c r="J440" s="65" t="s">
        <v>125</v>
      </c>
      <c r="K440" s="65"/>
      <c r="L440" s="65"/>
      <c r="M440" s="65"/>
      <c r="N440" s="65"/>
      <c r="O440" s="65"/>
      <c r="P440" s="65"/>
      <c r="Q440" s="65"/>
      <c r="R440" s="65"/>
      <c r="S440" s="65"/>
      <c r="T440" s="65"/>
      <c r="U440" s="65"/>
      <c r="V440" s="65"/>
      <c r="W440" s="65"/>
      <c r="X440" s="65"/>
      <c r="Y440" s="65"/>
      <c r="Z440" s="65"/>
    </row>
    <row r="441" spans="1:26" ht="12.75" customHeight="1">
      <c r="A441" s="64"/>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spans="1:26" ht="12.75" customHeight="1">
      <c r="A442" s="64"/>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spans="1:26" ht="12.75" customHeight="1">
      <c r="A443" s="64"/>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spans="1:26" ht="12.75" customHeight="1">
      <c r="A444" s="64"/>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spans="1:26" ht="12.75" customHeight="1">
      <c r="A445" s="64"/>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spans="1:26" ht="12.75" customHeight="1">
      <c r="A446" s="64"/>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spans="1:26" ht="12.75" customHeight="1">
      <c r="A447" s="64"/>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spans="1:26" ht="12.75" customHeight="1">
      <c r="A448" s="64"/>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spans="1:26" ht="12.75" customHeight="1">
      <c r="A449" s="64"/>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spans="1:26" ht="12.75" customHeight="1">
      <c r="A450" s="64"/>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spans="1:26" ht="12.75" customHeight="1">
      <c r="A451" s="64"/>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spans="1:26" ht="12.75" customHeight="1">
      <c r="A452" s="64"/>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spans="1:26" ht="12.75" customHeight="1">
      <c r="A453" s="64"/>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spans="1:26" ht="12.75" customHeight="1">
      <c r="A454" s="64"/>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spans="1:26" ht="12.75" customHeight="1">
      <c r="A455" s="64"/>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spans="1:26" ht="12.75" customHeight="1">
      <c r="A456" s="64"/>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spans="1:26" ht="12.75" customHeight="1">
      <c r="A457" s="64"/>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spans="1:26" ht="12.75" customHeight="1">
      <c r="A458" s="64"/>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spans="1:26" ht="12.75" customHeight="1">
      <c r="A459" s="64"/>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spans="1:26" ht="12.75" customHeight="1">
      <c r="A460" s="64"/>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spans="1:26" ht="12.75" customHeight="1">
      <c r="A461" s="64"/>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spans="1:26" ht="12.75" customHeight="1">
      <c r="A462" s="64"/>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spans="1:26" ht="12.75" customHeight="1">
      <c r="A463" s="64"/>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spans="1:26" ht="12.75" customHeight="1">
      <c r="A464" s="64"/>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spans="1:26" ht="12.75" customHeight="1">
      <c r="A465" s="64"/>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spans="1:26" ht="12.75" customHeight="1">
      <c r="A466" s="64"/>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spans="1:26" ht="12.75" customHeight="1">
      <c r="A467" s="64"/>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spans="1:26" ht="12.75" customHeight="1">
      <c r="A468" s="64"/>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spans="1:26" ht="12.75" customHeight="1">
      <c r="A469" s="64"/>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spans="1:26" ht="12.75" customHeight="1">
      <c r="A470" s="64"/>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spans="1:26" ht="12.75" customHeight="1">
      <c r="A471" s="64"/>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spans="1:26" ht="12.75" customHeight="1">
      <c r="A472" s="64"/>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spans="1:26" ht="12.75" customHeight="1">
      <c r="A473" s="64"/>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spans="1:26" ht="12.75" customHeight="1">
      <c r="A474" s="64"/>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spans="1:26" ht="12.75" customHeight="1">
      <c r="A475" s="64"/>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spans="1:26" ht="12.75" customHeight="1">
      <c r="A476" s="64"/>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spans="1:26" ht="12.75" customHeight="1">
      <c r="A477" s="64"/>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spans="1:26" ht="12.75" customHeight="1">
      <c r="A478" s="64"/>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spans="1:26" ht="12.75" customHeight="1">
      <c r="A479" s="64"/>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spans="1:26" ht="12.75" customHeight="1">
      <c r="A480" s="64"/>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spans="1:26" ht="12.75" customHeight="1">
      <c r="A481" s="64"/>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spans="1:26" ht="12.75" customHeight="1">
      <c r="A482" s="64"/>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spans="1:26" ht="12.75" customHeight="1">
      <c r="A483" s="64"/>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spans="1:26" ht="12.75" customHeight="1">
      <c r="A484" s="64"/>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spans="1:26" ht="12.75" customHeight="1">
      <c r="A485" s="64"/>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spans="1:26" ht="12.75" customHeight="1">
      <c r="A486" s="64"/>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spans="1:26" ht="12.75" customHeight="1">
      <c r="A487" s="64"/>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spans="1:26" ht="12.75" customHeight="1">
      <c r="A488" s="64"/>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spans="1:26" ht="12.75" customHeight="1">
      <c r="A489" s="64"/>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spans="1:26" ht="12.75" customHeight="1">
      <c r="A490" s="64"/>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spans="1:26" ht="12.75" customHeight="1">
      <c r="A491" s="64"/>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spans="1:26" ht="12.75" customHeight="1">
      <c r="A492" s="64"/>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spans="1:26" ht="12.75" customHeight="1">
      <c r="A493" s="64"/>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spans="1:26" ht="12.75" customHeight="1">
      <c r="A494" s="64"/>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spans="1:26" ht="12.75" customHeight="1">
      <c r="A495" s="64"/>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spans="1:26" ht="12.75" customHeight="1">
      <c r="A496" s="64"/>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spans="1:26" ht="12.75" customHeight="1">
      <c r="A497" s="64"/>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spans="1:26" ht="12.75" customHeight="1">
      <c r="A498" s="64"/>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spans="1:26" ht="12.75" customHeight="1">
      <c r="A499" s="64"/>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spans="1:26" ht="12.75" customHeight="1">
      <c r="A500" s="64"/>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spans="1:26" ht="12.75" customHeight="1">
      <c r="A501" s="64"/>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spans="1:26" ht="12.75" customHeight="1">
      <c r="A502" s="64"/>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spans="1:26" ht="12.75" customHeight="1">
      <c r="A503" s="64"/>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spans="1:26" ht="12.75" customHeight="1">
      <c r="A504" s="64"/>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spans="1:26" ht="12.75" customHeight="1">
      <c r="A505" s="64"/>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spans="1:26" ht="12.75" customHeight="1">
      <c r="A506" s="64"/>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spans="1:26" ht="12.75" customHeight="1">
      <c r="A507" s="64"/>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spans="1:26" ht="12.75" customHeight="1">
      <c r="A508" s="64"/>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spans="1:26" ht="12.75" customHeight="1">
      <c r="A509" s="64"/>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spans="1:26" ht="12.75" customHeight="1">
      <c r="A510" s="64"/>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spans="1:26" ht="12.75" customHeight="1">
      <c r="A511" s="64"/>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spans="1:26" ht="12.75" customHeight="1">
      <c r="A512" s="64"/>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spans="1:26" ht="12.75" customHeight="1">
      <c r="A513" s="64"/>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spans="1:26" ht="12.75" customHeight="1">
      <c r="A514" s="64"/>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spans="1:26" ht="12.75" customHeight="1">
      <c r="A515" s="64"/>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spans="1:26" ht="12.75" customHeight="1">
      <c r="A516" s="64"/>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spans="1:26" ht="12.75" customHeight="1">
      <c r="A517" s="64"/>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spans="1:26" ht="12.75" customHeight="1">
      <c r="A518" s="64"/>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spans="1:26" ht="12.75" customHeight="1">
      <c r="A519" s="64"/>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spans="1:26" ht="12.75" customHeight="1">
      <c r="A520" s="64"/>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spans="1:26" ht="12.75" customHeight="1">
      <c r="A521" s="64"/>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spans="1:26" ht="12.75" customHeight="1">
      <c r="A522" s="64"/>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spans="1:26" ht="12.75" customHeight="1">
      <c r="A523" s="64"/>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spans="1:26" ht="12.75" customHeight="1">
      <c r="A524" s="64"/>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spans="1:26" ht="12.75" customHeight="1">
      <c r="A525" s="64"/>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spans="1:26" ht="12.75" customHeight="1">
      <c r="A526" s="64"/>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spans="1:26" ht="12.75" customHeight="1">
      <c r="A527" s="64"/>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spans="1:26" ht="12.75" customHeight="1">
      <c r="A528" s="64"/>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spans="1:26" ht="12.75" customHeight="1">
      <c r="A529" s="64"/>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spans="1:26" ht="12.75" customHeight="1">
      <c r="A530" s="64"/>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spans="1:26" ht="12.75" customHeight="1">
      <c r="A531" s="64"/>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spans="1:26" ht="12.75" customHeight="1">
      <c r="A532" s="64"/>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spans="1:26" ht="12.75" customHeight="1">
      <c r="A533" s="64"/>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spans="1:26" ht="12.75" customHeight="1">
      <c r="A534" s="64"/>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spans="1:26" ht="12.75" customHeight="1">
      <c r="A535" s="64"/>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spans="1:26" ht="12.75" customHeight="1">
      <c r="A536" s="64"/>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spans="1:26" ht="12.75" customHeight="1">
      <c r="A537" s="64"/>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spans="1:26" ht="12.75" customHeight="1">
      <c r="A538" s="64"/>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spans="1:26" ht="12.75" customHeight="1">
      <c r="A539" s="64"/>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spans="1:26" ht="12.75" customHeight="1">
      <c r="A540" s="64"/>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spans="1:26" ht="12.75" customHeight="1">
      <c r="A541" s="64"/>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spans="1:26" ht="12.75" customHeight="1">
      <c r="A542" s="64"/>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spans="1:26" ht="12.75" customHeight="1">
      <c r="A543" s="64"/>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spans="1:26" ht="12.75" customHeight="1">
      <c r="A544" s="64"/>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spans="1:26" ht="12.75" customHeight="1">
      <c r="A545" s="64"/>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spans="1:26" ht="12.75" customHeight="1">
      <c r="A546" s="64"/>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spans="1:26" ht="12.75" customHeight="1">
      <c r="A547" s="64"/>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spans="1:26" ht="12.75" customHeight="1">
      <c r="A548" s="64"/>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spans="1:26" ht="12.75" customHeight="1">
      <c r="A549" s="64"/>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spans="1:26" ht="12.75" customHeight="1">
      <c r="A550" s="64"/>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spans="1:26" ht="12.75" customHeight="1">
      <c r="A551" s="64"/>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spans="1:26" ht="12.75" customHeight="1">
      <c r="A552" s="64"/>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spans="1:26" ht="12.75" customHeight="1">
      <c r="A553" s="64"/>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spans="1:26" ht="12.75" customHeight="1">
      <c r="A554" s="64"/>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spans="1:26" ht="12.75" customHeight="1">
      <c r="A555" s="64"/>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spans="1:26" ht="12.75" customHeight="1">
      <c r="A556" s="64"/>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spans="1:26" ht="12.75" customHeight="1">
      <c r="A557" s="64"/>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spans="1:26" ht="12.75" customHeight="1">
      <c r="A558" s="64"/>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spans="1:26" ht="12.75" customHeight="1">
      <c r="A559" s="64"/>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spans="1:26" ht="12.75" customHeight="1">
      <c r="A560" s="64"/>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spans="1:26" ht="12.75" customHeight="1">
      <c r="A561" s="64"/>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spans="1:26" ht="12.75" customHeight="1">
      <c r="A562" s="64"/>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spans="1:26" ht="12.75" customHeight="1">
      <c r="A563" s="64"/>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spans="1:26" ht="12.75" customHeight="1">
      <c r="A564" s="64"/>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spans="1:26" ht="12.75" customHeight="1">
      <c r="A565" s="64"/>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spans="1:26" ht="12.75" customHeight="1">
      <c r="A566" s="64"/>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spans="1:26" ht="12.75" customHeight="1">
      <c r="A567" s="64"/>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spans="1:26" ht="12.75" customHeight="1">
      <c r="A568" s="64"/>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spans="1:26" ht="12.75" customHeight="1">
      <c r="A569" s="64"/>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spans="1:26" ht="12.75" customHeight="1">
      <c r="A570" s="64"/>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spans="1:26" ht="12.75" customHeight="1">
      <c r="A571" s="64"/>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spans="1:26" ht="12.75" customHeight="1">
      <c r="A572" s="64"/>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spans="1:26" ht="12.75" customHeight="1">
      <c r="A573" s="64"/>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spans="1:26" ht="12.75" customHeight="1">
      <c r="A574" s="64"/>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spans="1:26" ht="12.75" customHeight="1">
      <c r="A575" s="64"/>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spans="1:26" ht="12.75" customHeight="1">
      <c r="A576" s="64"/>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spans="1:26" ht="12.75" customHeight="1">
      <c r="A577" s="64"/>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spans="1:26" ht="12.75" customHeight="1">
      <c r="A578" s="64"/>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spans="1:26" ht="12.75" customHeight="1">
      <c r="A579" s="64"/>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spans="1:26" ht="12.75" customHeight="1">
      <c r="A580" s="64"/>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spans="1:26" ht="12.75" customHeight="1">
      <c r="A581" s="64"/>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spans="1:26" ht="12.75" customHeight="1">
      <c r="A582" s="64"/>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spans="1:26" ht="12.75" customHeight="1">
      <c r="A583" s="64"/>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spans="1:26" ht="12.75" customHeight="1">
      <c r="A584" s="64"/>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spans="1:26" ht="12.75" customHeight="1">
      <c r="A585" s="64"/>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spans="1:26" ht="12.75" customHeight="1">
      <c r="A586" s="64"/>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spans="1:26" ht="12.75" customHeight="1">
      <c r="A587" s="64"/>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spans="1:26" ht="12.75" customHeight="1">
      <c r="A588" s="64"/>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spans="1:26" ht="12.75" customHeight="1">
      <c r="A589" s="64"/>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spans="1:26" ht="12.75" customHeight="1">
      <c r="A590" s="64"/>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spans="1:26" ht="12.75" customHeight="1">
      <c r="A591" s="64"/>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spans="1:26" ht="12.75" customHeight="1">
      <c r="A592" s="64"/>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spans="1:26" ht="12.75" customHeight="1">
      <c r="A593" s="64"/>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spans="1:26" ht="12.75" customHeight="1">
      <c r="A594" s="64"/>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spans="1:26" ht="12.75" customHeight="1">
      <c r="A595" s="64"/>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spans="1:26" ht="12.75" customHeight="1">
      <c r="A596" s="64"/>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spans="1:26" ht="12.75" customHeight="1">
      <c r="A597" s="64"/>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spans="1:26" ht="12.75" customHeight="1">
      <c r="A598" s="64"/>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spans="1:26" ht="12.75" customHeight="1">
      <c r="A599" s="64"/>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spans="1:26" ht="12.75" customHeight="1">
      <c r="A600" s="64"/>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spans="1:26" ht="12.75" customHeight="1">
      <c r="A601" s="64"/>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spans="1:26" ht="12.75" customHeight="1">
      <c r="A602" s="64"/>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spans="1:26" ht="12.75" customHeight="1">
      <c r="A603" s="64"/>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spans="1:26" ht="12.75" customHeight="1">
      <c r="A604" s="64"/>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spans="1:26" ht="12.75" customHeight="1">
      <c r="A605" s="64"/>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spans="1:26" ht="12.75" customHeight="1">
      <c r="A606" s="64"/>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spans="1:26" ht="12.75" customHeight="1">
      <c r="A607" s="64"/>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spans="1:26" ht="12.75" customHeight="1">
      <c r="A608" s="64"/>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spans="1:26" ht="12.75" customHeight="1">
      <c r="A609" s="64"/>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spans="1:26" ht="12.75" customHeight="1">
      <c r="A610" s="64"/>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spans="1:26" ht="12.75" customHeight="1">
      <c r="A611" s="64"/>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spans="1:26" ht="12.75" customHeight="1">
      <c r="A612" s="64"/>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spans="1:26" ht="12.75" customHeight="1">
      <c r="A613" s="64"/>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spans="1:26" ht="12.75" customHeight="1">
      <c r="A614" s="64"/>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spans="1:26" ht="12.75" customHeight="1">
      <c r="A615" s="64"/>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spans="1:26" ht="12.75" customHeight="1">
      <c r="A616" s="64"/>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spans="1:26" ht="12.75" customHeight="1">
      <c r="A617" s="64"/>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spans="1:26" ht="12.75" customHeight="1">
      <c r="A618" s="64"/>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spans="1:26" ht="12.75" customHeight="1">
      <c r="A619" s="64"/>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spans="1:26" ht="12.75" customHeight="1">
      <c r="A620" s="64"/>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spans="1:26" ht="12.75" customHeight="1">
      <c r="A621" s="64"/>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spans="1:26" ht="12.75" customHeight="1">
      <c r="A622" s="64"/>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spans="1:26" ht="12.75" customHeight="1">
      <c r="A623" s="64"/>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spans="1:26" ht="12.75" customHeight="1">
      <c r="A624" s="64"/>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spans="1:26" ht="12.75" customHeight="1">
      <c r="A625" s="64"/>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spans="1:26" ht="12.75" customHeight="1">
      <c r="A626" s="64"/>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spans="1:26" ht="12.75" customHeight="1">
      <c r="A627" s="64"/>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spans="1:26" ht="12.75" customHeight="1">
      <c r="A628" s="64"/>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spans="1:26" ht="12.75" customHeight="1">
      <c r="A629" s="64"/>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spans="1:26" ht="12.75" customHeight="1">
      <c r="A630" s="64"/>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spans="1:26" ht="12.75" customHeight="1">
      <c r="A631" s="64"/>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spans="1:26" ht="12.75" customHeight="1">
      <c r="A632" s="64"/>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spans="1:26" ht="12.75" customHeight="1">
      <c r="A633" s="64"/>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spans="1:26" ht="12.75" customHeight="1">
      <c r="A634" s="64"/>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spans="1:26" ht="12.75" customHeight="1">
      <c r="A635" s="64"/>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spans="1:26" ht="12.75" customHeight="1">
      <c r="A636" s="64"/>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spans="1:26" ht="12.75" customHeight="1">
      <c r="A637" s="64"/>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spans="1:26" ht="12.75" customHeight="1">
      <c r="A638" s="64"/>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spans="1:26" ht="12.75" customHeight="1">
      <c r="A639" s="64"/>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spans="1:26" ht="12.75" customHeight="1">
      <c r="A640" s="64"/>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spans="1:26" ht="12.75" customHeight="1">
      <c r="A641" s="64"/>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spans="1:26" ht="12.75" customHeight="1">
      <c r="A642" s="64"/>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spans="1:26" ht="12.75" customHeight="1">
      <c r="A643" s="64"/>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spans="1:26" ht="12.75" customHeight="1">
      <c r="A644" s="64"/>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spans="1:26" ht="12.75" customHeight="1">
      <c r="A645" s="64"/>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spans="1:26" ht="12.75" customHeight="1">
      <c r="A646" s="64"/>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spans="1:26" ht="12.75" customHeight="1">
      <c r="A647" s="64"/>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spans="1:26" ht="12.75" customHeight="1">
      <c r="A648" s="64"/>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spans="1:26" ht="12.75" customHeight="1">
      <c r="A649" s="64"/>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spans="1:26" ht="12.75" customHeight="1">
      <c r="A650" s="64"/>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spans="1:26" ht="12.75" customHeight="1">
      <c r="A651" s="64"/>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spans="1:26" ht="12.75" customHeight="1">
      <c r="A652" s="64"/>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spans="1:26" ht="12.75" customHeight="1">
      <c r="A653" s="64"/>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spans="1:26" ht="12.75" customHeight="1">
      <c r="A654" s="64"/>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spans="1:26" ht="12.75" customHeight="1">
      <c r="A655" s="64"/>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spans="1:26" ht="12.75" customHeight="1">
      <c r="A656" s="64"/>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spans="1:26" ht="12.75" customHeight="1">
      <c r="A657" s="64"/>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spans="1:26" ht="12.75" customHeight="1">
      <c r="A658" s="64"/>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spans="1:26" ht="12.75" customHeight="1">
      <c r="A659" s="64"/>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spans="1:26" ht="12.75" customHeight="1">
      <c r="A660" s="64"/>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spans="1:26" ht="12.75" customHeight="1">
      <c r="A661" s="64"/>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spans="1:26" ht="12.75" customHeight="1">
      <c r="A662" s="64"/>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spans="1:26" ht="12.75" customHeight="1">
      <c r="A663" s="64"/>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spans="1:26" ht="12.75" customHeight="1">
      <c r="A664" s="64"/>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spans="1:26" ht="12.75" customHeight="1">
      <c r="A665" s="64"/>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spans="1:26" ht="12.75" customHeight="1">
      <c r="A666" s="64"/>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spans="1:26" ht="12.75" customHeight="1">
      <c r="A667" s="64"/>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spans="1:26" ht="12.75" customHeight="1">
      <c r="A668" s="64"/>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spans="1:26" ht="12.75" customHeight="1">
      <c r="A669" s="64"/>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spans="1:26" ht="12.75" customHeight="1">
      <c r="A670" s="64"/>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spans="1:26" ht="12.75" customHeight="1">
      <c r="A671" s="64"/>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spans="1:26" ht="12.75" customHeight="1">
      <c r="A672" s="64"/>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spans="1:26" ht="12.75" customHeight="1">
      <c r="A673" s="64"/>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spans="1:26" ht="12.75" customHeight="1">
      <c r="A674" s="64"/>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spans="1:26" ht="12.75" customHeight="1">
      <c r="A675" s="64"/>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spans="1:26" ht="12.75" customHeight="1">
      <c r="A676" s="64"/>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spans="1:26" ht="12.75" customHeight="1">
      <c r="A677" s="64"/>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spans="1:26" ht="12.75" customHeight="1">
      <c r="A678" s="64"/>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spans="1:26" ht="12.75" customHeight="1">
      <c r="A679" s="64"/>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spans="1:26" ht="12.75" customHeight="1">
      <c r="A680" s="64"/>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spans="1:26" ht="12.75" customHeight="1">
      <c r="A681" s="64"/>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spans="1:26" ht="12.75" customHeight="1">
      <c r="A682" s="64"/>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spans="1:26" ht="12.75" customHeight="1">
      <c r="A683" s="64"/>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spans="1:26" ht="12.75" customHeight="1">
      <c r="A684" s="64"/>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spans="1:26" ht="12.75" customHeight="1">
      <c r="A685" s="64"/>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spans="1:26" ht="12.75" customHeight="1">
      <c r="A686" s="64"/>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spans="1:26" ht="12.75" customHeight="1">
      <c r="A687" s="64"/>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spans="1:26" ht="12.75" customHeight="1">
      <c r="A688" s="64"/>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spans="1:26" ht="12.75" customHeight="1">
      <c r="A689" s="64"/>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spans="1:26" ht="12.75" customHeight="1">
      <c r="A690" s="64"/>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spans="1:26" ht="12.75" customHeight="1">
      <c r="A691" s="64"/>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spans="1:26" ht="12.75" customHeight="1">
      <c r="A692" s="64"/>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spans="1:26" ht="12.75" customHeight="1">
      <c r="A693" s="64"/>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spans="1:26" ht="12.75" customHeight="1">
      <c r="A694" s="64"/>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spans="1:26" ht="12.75" customHeight="1">
      <c r="A695" s="64"/>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spans="1:26" ht="12.75" customHeight="1">
      <c r="A696" s="64"/>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spans="1:26" ht="12.75" customHeight="1">
      <c r="A697" s="64"/>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spans="1:26" ht="12.75" customHeight="1">
      <c r="A698" s="64"/>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spans="1:26" ht="12.75" customHeight="1">
      <c r="A699" s="64"/>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spans="1:26" ht="12.75" customHeight="1">
      <c r="A700" s="64"/>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spans="1:26" ht="12.75" customHeight="1">
      <c r="A701" s="64"/>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spans="1:26" ht="12.75" customHeight="1">
      <c r="A702" s="64"/>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spans="1:26" ht="12.75" customHeight="1">
      <c r="A703" s="64"/>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spans="1:26" ht="12.75" customHeight="1">
      <c r="A704" s="64"/>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spans="1:26" ht="12.75" customHeight="1">
      <c r="A705" s="64"/>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spans="1:26" ht="12.75" customHeight="1">
      <c r="A706" s="64"/>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spans="1:26" ht="12.75" customHeight="1">
      <c r="A707" s="64"/>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spans="1:26" ht="12.75" customHeight="1">
      <c r="A708" s="64"/>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spans="1:26" ht="12.75" customHeight="1">
      <c r="A709" s="64"/>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spans="1:26" ht="12.75" customHeight="1">
      <c r="A710" s="64"/>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spans="1:26" ht="12.75" customHeight="1">
      <c r="A711" s="64"/>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spans="1:26" ht="12.75" customHeight="1">
      <c r="A712" s="64"/>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spans="1:26" ht="12.75" customHeight="1">
      <c r="A713" s="64"/>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spans="1:26" ht="12.75" customHeight="1">
      <c r="A714" s="64"/>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spans="1:26" ht="12.75" customHeight="1">
      <c r="A715" s="64"/>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spans="1:26" ht="12.75" customHeight="1">
      <c r="A716" s="64"/>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spans="1:26" ht="12.75" customHeight="1">
      <c r="A717" s="64"/>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spans="1:26" ht="12.75" customHeight="1">
      <c r="A718" s="64"/>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spans="1:26" ht="12.75" customHeight="1">
      <c r="A719" s="64"/>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spans="1:26" ht="12.75" customHeight="1">
      <c r="A720" s="64"/>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spans="1:26" ht="12.75" customHeight="1">
      <c r="A721" s="64"/>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spans="1:26" ht="12.75" customHeight="1">
      <c r="A722" s="64"/>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spans="1:26" ht="12.75" customHeight="1">
      <c r="A723" s="64"/>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spans="1:26" ht="12.75" customHeight="1">
      <c r="A724" s="64"/>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spans="1:26" ht="12.75" customHeight="1">
      <c r="A725" s="64"/>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spans="1:26" ht="12.75" customHeight="1">
      <c r="A726" s="64"/>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spans="1:26" ht="12.75" customHeight="1">
      <c r="A727" s="64"/>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spans="1:26" ht="12.75" customHeight="1">
      <c r="A728" s="64"/>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spans="1:26" ht="12.75" customHeight="1">
      <c r="A729" s="64"/>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spans="1:26" ht="12.75" customHeight="1">
      <c r="A730" s="64"/>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spans="1:26" ht="12.75" customHeight="1">
      <c r="A731" s="64"/>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spans="1:26" ht="12.75" customHeight="1">
      <c r="A732" s="64"/>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spans="1:26" ht="12.75" customHeight="1">
      <c r="A733" s="64"/>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spans="1:26" ht="12.75" customHeight="1">
      <c r="A734" s="64"/>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spans="1:26" ht="12.75" customHeight="1">
      <c r="A735" s="64"/>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spans="1:26" ht="12.75" customHeight="1">
      <c r="A736" s="64"/>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spans="1:26" ht="12.75" customHeight="1">
      <c r="A737" s="64"/>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spans="1:26" ht="12.75" customHeight="1">
      <c r="A738" s="64"/>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spans="1:26" ht="12.75" customHeight="1">
      <c r="A739" s="64"/>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spans="1:26" ht="12.75" customHeight="1">
      <c r="A740" s="64"/>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spans="1:26" ht="12.75" customHeight="1">
      <c r="A741" s="64"/>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spans="1:26" ht="12.75" customHeight="1">
      <c r="A742" s="64"/>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spans="1:26" ht="12.75" customHeight="1">
      <c r="A743" s="64"/>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spans="1:26" ht="12.75" customHeight="1">
      <c r="A744" s="64"/>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spans="1:26" ht="12.75" customHeight="1">
      <c r="A745" s="64"/>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spans="1:26" ht="12.75" customHeight="1">
      <c r="A746" s="64"/>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spans="1:26" ht="12.75" customHeight="1">
      <c r="A747" s="64"/>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spans="1:26" ht="12.75" customHeight="1">
      <c r="A748" s="64"/>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spans="1:26" ht="12.75" customHeight="1">
      <c r="A749" s="64"/>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spans="1:26" ht="12.75" customHeight="1">
      <c r="A750" s="64"/>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spans="1:26" ht="12.75" customHeight="1">
      <c r="A751" s="64"/>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spans="1:26" ht="12.75" customHeight="1">
      <c r="A752" s="64"/>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spans="1:26" ht="12.75" customHeight="1">
      <c r="A753" s="64"/>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spans="1:26" ht="12.75" customHeight="1">
      <c r="A754" s="64"/>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spans="1:26" ht="12.75" customHeight="1">
      <c r="A755" s="64"/>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spans="1:26" ht="12.75" customHeight="1">
      <c r="A756" s="64"/>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spans="1:26" ht="12.75" customHeight="1">
      <c r="A757" s="64"/>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spans="1:26" ht="12.75" customHeight="1">
      <c r="A758" s="64"/>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spans="1:26" ht="12.75" customHeight="1">
      <c r="A759" s="64"/>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spans="1:26" ht="12.75" customHeight="1">
      <c r="A760" s="64"/>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spans="1:26" ht="12.75" customHeight="1">
      <c r="A761" s="64"/>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spans="1:26" ht="12.75" customHeight="1">
      <c r="A762" s="64"/>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spans="1:26" ht="12.75" customHeight="1">
      <c r="A763" s="64"/>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spans="1:26" ht="12.75" customHeight="1">
      <c r="A764" s="64"/>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spans="1:26" ht="12.75" customHeight="1">
      <c r="A765" s="64"/>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spans="1:26" ht="12.75" customHeight="1">
      <c r="A766" s="64"/>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spans="1:26" ht="12.75" customHeight="1">
      <c r="A767" s="64"/>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spans="1:26" ht="12.75" customHeight="1">
      <c r="A768" s="64"/>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spans="1:26" ht="12.75" customHeight="1">
      <c r="A769" s="64"/>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spans="1:26" ht="12.75" customHeight="1">
      <c r="A770" s="64"/>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spans="1:26" ht="12.75" customHeight="1">
      <c r="A771" s="64"/>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spans="1:26" ht="12.75" customHeight="1">
      <c r="A772" s="64"/>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spans="1:26" ht="12.75" customHeight="1">
      <c r="A773" s="64"/>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spans="1:26" ht="12.75" customHeight="1">
      <c r="A774" s="64"/>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spans="1:26" ht="12.75" customHeight="1">
      <c r="A775" s="64"/>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spans="1:26" ht="12.75" customHeight="1">
      <c r="A776" s="64"/>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spans="1:26" ht="12.75" customHeight="1">
      <c r="A777" s="64"/>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spans="1:26" ht="12.75" customHeight="1">
      <c r="A778" s="64"/>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spans="1:26" ht="12.75" customHeight="1">
      <c r="A779" s="64"/>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spans="1:26" ht="12.75" customHeight="1">
      <c r="A780" s="64"/>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spans="1:26" ht="12.75" customHeight="1">
      <c r="A781" s="64"/>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spans="1:26" ht="12.75" customHeight="1">
      <c r="A782" s="64"/>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spans="1:26" ht="12.75" customHeight="1">
      <c r="A783" s="64"/>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spans="1:26" ht="12.75" customHeight="1">
      <c r="A784" s="64"/>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spans="1:26" ht="12.75" customHeight="1">
      <c r="A785" s="64"/>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spans="1:26" ht="12.75" customHeight="1">
      <c r="A786" s="64"/>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spans="1:26" ht="12.75" customHeight="1">
      <c r="A787" s="64"/>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spans="1:26" ht="12.75" customHeight="1">
      <c r="A788" s="64"/>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spans="1:26" ht="12.75" customHeight="1">
      <c r="A789" s="64"/>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spans="1:26" ht="12.75" customHeight="1">
      <c r="A790" s="64"/>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spans="1:26" ht="12.75" customHeight="1">
      <c r="A791" s="64"/>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spans="1:26" ht="12.75" customHeight="1">
      <c r="A792" s="64"/>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spans="1:26" ht="12.75" customHeight="1">
      <c r="A793" s="64"/>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spans="1:26" ht="12.75" customHeight="1">
      <c r="A794" s="64"/>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spans="1:26" ht="12.75" customHeight="1">
      <c r="A795" s="64"/>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spans="1:26" ht="12.75" customHeight="1">
      <c r="A796" s="64"/>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spans="1:26" ht="12.75" customHeight="1">
      <c r="A797" s="64"/>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spans="1:26" ht="12.75" customHeight="1">
      <c r="A798" s="64"/>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spans="1:26" ht="12.75" customHeight="1">
      <c r="A799" s="64"/>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spans="1:26" ht="12.75" customHeight="1">
      <c r="A800" s="64"/>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spans="1:26" ht="12.75" customHeight="1">
      <c r="A801" s="64"/>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spans="1:26" ht="12.75" customHeight="1">
      <c r="A802" s="64"/>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spans="1:26" ht="12.75" customHeight="1">
      <c r="A803" s="64"/>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spans="1:26" ht="12.75" customHeight="1">
      <c r="A804" s="64"/>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spans="1:26" ht="12.75" customHeight="1">
      <c r="A805" s="64"/>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spans="1:26" ht="12.75" customHeight="1">
      <c r="A806" s="64"/>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spans="1:26" ht="12.75" customHeight="1">
      <c r="A807" s="64"/>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spans="1:26" ht="12.75" customHeight="1">
      <c r="A808" s="64"/>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spans="1:26" ht="12.75" customHeight="1">
      <c r="A809" s="64"/>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spans="1:26" ht="12.75" customHeight="1">
      <c r="A810" s="64"/>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spans="1:26" ht="12.75" customHeight="1">
      <c r="A811" s="64"/>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spans="1:26" ht="12.75" customHeight="1">
      <c r="A812" s="64"/>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spans="1:26" ht="12.75" customHeight="1">
      <c r="A813" s="64"/>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spans="1:26" ht="12.75" customHeight="1">
      <c r="A814" s="64"/>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spans="1:26" ht="12.75" customHeight="1">
      <c r="A815" s="64"/>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spans="1:26" ht="12.75" customHeight="1">
      <c r="A816" s="64"/>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spans="1:26" ht="12.75" customHeight="1">
      <c r="A817" s="64"/>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spans="1:26" ht="12.75" customHeight="1">
      <c r="A818" s="64"/>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spans="1:26" ht="12.75" customHeight="1">
      <c r="A819" s="64"/>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spans="1:26" ht="12.75" customHeight="1">
      <c r="A820" s="64"/>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spans="1:26" ht="12.75" customHeight="1">
      <c r="A821" s="64"/>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spans="1:26" ht="12.75" customHeight="1">
      <c r="A822" s="64"/>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spans="1:26" ht="12.75" customHeight="1">
      <c r="A823" s="64"/>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spans="1:26" ht="12.75" customHeight="1">
      <c r="A824" s="64"/>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spans="1:26" ht="12.75" customHeight="1">
      <c r="A825" s="64"/>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spans="1:26" ht="12.75" customHeight="1">
      <c r="A826" s="64"/>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spans="1:26" ht="12.75" customHeight="1">
      <c r="A827" s="64"/>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spans="1:26" ht="12.75" customHeight="1">
      <c r="A828" s="64"/>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spans="1:26" ht="12.75" customHeight="1">
      <c r="A829" s="64"/>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spans="1:26" ht="12.75" customHeight="1">
      <c r="A830" s="64"/>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spans="1:26" ht="12.75" customHeight="1">
      <c r="A831" s="64"/>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spans="1:26" ht="12.75" customHeight="1">
      <c r="A832" s="64"/>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spans="1:26" ht="12.75" customHeight="1">
      <c r="A833" s="64"/>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spans="1:26" ht="12.75" customHeight="1">
      <c r="A834" s="64"/>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spans="1:26" ht="12.75" customHeight="1">
      <c r="A835" s="64"/>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spans="1:26" ht="12.75" customHeight="1">
      <c r="A836" s="64"/>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spans="1:26" ht="12.75" customHeight="1">
      <c r="A837" s="64"/>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spans="1:26" ht="12.75" customHeight="1">
      <c r="A838" s="64"/>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spans="1:26" ht="12.75" customHeight="1">
      <c r="A839" s="64"/>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spans="1:26" ht="12.75" customHeight="1">
      <c r="A840" s="64"/>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spans="1:26" ht="12.75" customHeight="1">
      <c r="A841" s="64"/>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spans="1:26" ht="12.75" customHeight="1">
      <c r="A842" s="64"/>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spans="1:26" ht="12.75" customHeight="1">
      <c r="A843" s="64"/>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spans="1:26" ht="12.75" customHeight="1">
      <c r="A844" s="64"/>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spans="1:26" ht="12.75" customHeight="1">
      <c r="A845" s="64"/>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spans="1:26" ht="12.75" customHeight="1">
      <c r="A846" s="64"/>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spans="1:26" ht="12.75" customHeight="1">
      <c r="A847" s="64"/>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spans="1:26" ht="12.75" customHeight="1">
      <c r="A848" s="64"/>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spans="1:26" ht="12.75" customHeight="1">
      <c r="A849" s="64"/>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spans="1:26" ht="12.75" customHeight="1">
      <c r="A850" s="64"/>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spans="1:26" ht="12.75" customHeight="1">
      <c r="A851" s="64"/>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spans="1:26" ht="12.75" customHeight="1">
      <c r="A852" s="64"/>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spans="1:26" ht="12.75" customHeight="1">
      <c r="A853" s="64"/>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spans="1:26" ht="12.75" customHeight="1">
      <c r="A854" s="64"/>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spans="1:26" ht="12.75" customHeight="1">
      <c r="A855" s="64"/>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spans="1:26" ht="12.75" customHeight="1">
      <c r="A856" s="64"/>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spans="1:26" ht="12.75" customHeight="1">
      <c r="A857" s="64"/>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spans="1:26" ht="12.75" customHeight="1">
      <c r="A858" s="64"/>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spans="1:26" ht="12.75" customHeight="1">
      <c r="A859" s="64"/>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spans="1:26" ht="12.75" customHeight="1">
      <c r="A860" s="64"/>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spans="1:26" ht="12.75" customHeight="1">
      <c r="A861" s="64"/>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spans="1:26" ht="12.75" customHeight="1">
      <c r="A862" s="64"/>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spans="1:26" ht="12.75" customHeight="1">
      <c r="A863" s="64"/>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spans="1:26" ht="12.75" customHeight="1">
      <c r="A864" s="64"/>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spans="1:26" ht="12.75" customHeight="1">
      <c r="A865" s="64"/>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spans="1:26" ht="12.75" customHeight="1">
      <c r="A866" s="64"/>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spans="1:26" ht="12.75" customHeight="1">
      <c r="A867" s="64"/>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spans="1:26" ht="12.75" customHeight="1">
      <c r="A868" s="64"/>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spans="1:26" ht="12.75" customHeight="1">
      <c r="A869" s="64"/>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spans="1:26" ht="12.75" customHeight="1">
      <c r="A870" s="64"/>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spans="1:26" ht="12.75" customHeight="1">
      <c r="A871" s="64"/>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spans="1:26" ht="12.75" customHeight="1">
      <c r="A872" s="64"/>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spans="1:26" ht="12.75" customHeight="1">
      <c r="A873" s="64"/>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spans="1:26" ht="12.75" customHeight="1">
      <c r="A874" s="64"/>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spans="1:26" ht="12.75" customHeight="1">
      <c r="A875" s="64"/>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spans="1:26" ht="12.75" customHeight="1">
      <c r="A876" s="64"/>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spans="1:26" ht="12.75" customHeight="1">
      <c r="A877" s="64"/>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spans="1:26" ht="12.75" customHeight="1">
      <c r="A878" s="64"/>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spans="1:26" ht="12.75" customHeight="1">
      <c r="A879" s="64"/>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spans="1:26" ht="12.75" customHeight="1">
      <c r="A880" s="64"/>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spans="1:26" ht="12.75" customHeight="1">
      <c r="A881" s="64"/>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spans="1:26" ht="12.75" customHeight="1">
      <c r="A882" s="64"/>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spans="1:26" ht="12.75" customHeight="1">
      <c r="A883" s="64"/>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spans="1:26" ht="12.75" customHeight="1">
      <c r="A884" s="64"/>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spans="1:26" ht="12.75" customHeight="1">
      <c r="A885" s="64"/>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spans="1:26" ht="12.75" customHeight="1">
      <c r="A886" s="64"/>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spans="1:26" ht="12.75" customHeight="1">
      <c r="A887" s="64"/>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spans="1:26" ht="12.75" customHeight="1">
      <c r="A888" s="64"/>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spans="1:26" ht="12.75" customHeight="1">
      <c r="A889" s="64"/>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spans="1:26" ht="12.75" customHeight="1">
      <c r="A890" s="64"/>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spans="1:26" ht="12.75" customHeight="1">
      <c r="A891" s="64"/>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spans="1:26" ht="12.75" customHeight="1">
      <c r="A892" s="64"/>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spans="1:26" ht="12.75" customHeight="1">
      <c r="A893" s="64"/>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spans="1:26" ht="12.75" customHeight="1">
      <c r="A894" s="64"/>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spans="1:26" ht="12.75" customHeight="1">
      <c r="A895" s="64"/>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spans="1:26" ht="12.75" customHeight="1">
      <c r="A896" s="64"/>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spans="1:26" ht="12.75" customHeight="1">
      <c r="A897" s="64"/>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spans="1:26" ht="12.75" customHeight="1">
      <c r="A898" s="64"/>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spans="1:26" ht="12.75" customHeight="1">
      <c r="A899" s="64"/>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spans="1:26" ht="12.75" customHeight="1">
      <c r="A900" s="64"/>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spans="1:26" ht="12.75" customHeight="1">
      <c r="A901" s="64"/>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spans="1:26" ht="12.75" customHeight="1">
      <c r="A902" s="64"/>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spans="1:26" ht="12.75" customHeight="1">
      <c r="A903" s="64"/>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spans="1:26" ht="12.75" customHeight="1">
      <c r="A904" s="64"/>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spans="1:26" ht="12.75" customHeight="1">
      <c r="A905" s="64"/>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spans="1:26" ht="12.75" customHeight="1">
      <c r="A906" s="64"/>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spans="1:26" ht="12.75" customHeight="1">
      <c r="A907" s="64"/>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spans="1:26" ht="12.75" customHeight="1">
      <c r="A908" s="64"/>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spans="1:26" ht="12.75" customHeight="1">
      <c r="A909" s="64"/>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spans="1:26" ht="12.75" customHeight="1">
      <c r="A910" s="64"/>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spans="1:26" ht="12.75" customHeight="1">
      <c r="A911" s="64"/>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spans="1:26" ht="12.75" customHeight="1">
      <c r="A912" s="64"/>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spans="1:26" ht="12.75" customHeight="1">
      <c r="A913" s="64"/>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spans="1:26" ht="12.75" customHeight="1">
      <c r="A914" s="64"/>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spans="1:26" ht="12.75" customHeight="1">
      <c r="A915" s="64"/>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spans="1:26" ht="12.75" customHeight="1">
      <c r="A916" s="64"/>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spans="1:26" ht="12.75" customHeight="1">
      <c r="A917" s="64"/>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spans="1:26" ht="12.75" customHeight="1">
      <c r="A918" s="64"/>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spans="1:26" ht="12.75" customHeight="1">
      <c r="A919" s="64"/>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spans="1:26" ht="12.75" customHeight="1">
      <c r="A920" s="64"/>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spans="1:26" ht="12.75" customHeight="1">
      <c r="A921" s="64"/>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spans="1:26" ht="12.75" customHeight="1">
      <c r="A922" s="64"/>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spans="1:26" ht="12.75" customHeight="1">
      <c r="A923" s="64"/>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spans="1:26" ht="12.75" customHeight="1">
      <c r="A924" s="64"/>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spans="1:26" ht="12.75" customHeight="1">
      <c r="A925" s="64"/>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spans="1:26" ht="12.75" customHeight="1">
      <c r="A926" s="64"/>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spans="1:26" ht="12.75" customHeight="1">
      <c r="A927" s="64"/>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spans="1:26" ht="12.75" customHeight="1">
      <c r="A928" s="64"/>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spans="1:26" ht="12.75" customHeight="1">
      <c r="A929" s="64"/>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spans="1:26" ht="12.75" customHeight="1">
      <c r="A930" s="64"/>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spans="1:26" ht="12.75" customHeight="1">
      <c r="A931" s="64"/>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spans="1:26" ht="12.75" customHeight="1">
      <c r="A932" s="64"/>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spans="1:26" ht="12.75" customHeight="1">
      <c r="A933" s="64"/>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spans="1:26" ht="12.75" customHeight="1">
      <c r="A934" s="64"/>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spans="1:26" ht="12.75" customHeight="1">
      <c r="A935" s="64"/>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spans="1:26" ht="12.75" customHeight="1">
      <c r="A936" s="64"/>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spans="1:26" ht="12.75" customHeight="1">
      <c r="A937" s="64"/>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spans="1:26" ht="12.75" customHeight="1">
      <c r="A938" s="64"/>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spans="1:26" ht="12.75" customHeight="1">
      <c r="A939" s="64"/>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spans="1:26" ht="12.75" customHeight="1">
      <c r="A940" s="64"/>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spans="1:26" ht="12.75" customHeight="1">
      <c r="A941" s="64"/>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spans="1:26" ht="12.75" customHeight="1">
      <c r="A942" s="64"/>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spans="1:26" ht="12.75" customHeight="1">
      <c r="A943" s="64"/>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spans="1:26" ht="12.75" customHeight="1">
      <c r="A944" s="64"/>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spans="1:26" ht="12.75" customHeight="1">
      <c r="A945" s="64"/>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spans="1:26" ht="12.75" customHeight="1">
      <c r="A946" s="64"/>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spans="1:26" ht="12.75" customHeight="1">
      <c r="A947" s="64"/>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spans="1:26" ht="12.75" customHeight="1">
      <c r="A948" s="64"/>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spans="1:26" ht="12.75" customHeight="1">
      <c r="A949" s="64"/>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spans="1:26" ht="12.75" customHeight="1">
      <c r="A950" s="64"/>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spans="1:26" ht="12.75" customHeight="1">
      <c r="A951" s="64"/>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spans="1:26" ht="12.75" customHeight="1">
      <c r="A952" s="64"/>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spans="1:26" ht="12.75" customHeight="1">
      <c r="A953" s="64"/>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spans="1:26" ht="12.75" customHeight="1">
      <c r="A954" s="64"/>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spans="1:26" ht="12.75" customHeight="1">
      <c r="A955" s="64"/>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spans="1:26" ht="12.75" customHeight="1">
      <c r="A956" s="64"/>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spans="1:26" ht="12.75" customHeight="1">
      <c r="A957" s="64"/>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spans="1:26" ht="12.75" customHeight="1">
      <c r="A958" s="64"/>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spans="1:26" ht="12.75" customHeight="1">
      <c r="A959" s="64"/>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spans="1:26" ht="12.75" customHeight="1">
      <c r="A960" s="64"/>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spans="1:26" ht="12.75" customHeight="1">
      <c r="A961" s="64"/>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spans="1:26" ht="12.75" customHeight="1">
      <c r="A962" s="64"/>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spans="1:26" ht="12.75" customHeight="1">
      <c r="A963" s="64"/>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spans="1:26" ht="12.75" customHeight="1">
      <c r="A964" s="64"/>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spans="1:26" ht="12.75" customHeight="1">
      <c r="A965" s="64"/>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spans="1:26" ht="12.75" customHeight="1">
      <c r="A966" s="64"/>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spans="1:26" ht="12.75" customHeight="1">
      <c r="A967" s="64"/>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spans="1:26" ht="12.75" customHeight="1">
      <c r="A968" s="64"/>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spans="1:26" ht="12.75" customHeight="1">
      <c r="A969" s="64"/>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spans="1:26" ht="12.75" customHeight="1">
      <c r="A970" s="64"/>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spans="1:26" ht="12.75" customHeight="1">
      <c r="A971" s="64"/>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spans="1:26" ht="12.75" customHeight="1">
      <c r="A972" s="64"/>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spans="1:26" ht="12.75" customHeight="1">
      <c r="A973" s="64"/>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spans="1:26" ht="12.75" customHeight="1">
      <c r="A974" s="64"/>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spans="1:26" ht="12.75" customHeight="1">
      <c r="A975" s="64"/>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spans="1:26" ht="12.75" customHeight="1">
      <c r="A976" s="64"/>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spans="1:26" ht="12.75" customHeight="1">
      <c r="A977" s="64"/>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spans="1:26" ht="12.75" customHeight="1">
      <c r="A978" s="64"/>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spans="1:26" ht="12.75" customHeight="1">
      <c r="A979" s="64"/>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spans="1:26" ht="12.75" customHeight="1">
      <c r="A980" s="64"/>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spans="1:26" ht="12.75" customHeight="1">
      <c r="A981" s="64"/>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spans="1:26" ht="12.75" customHeight="1">
      <c r="A982" s="64"/>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spans="1:26" ht="12.75" customHeight="1">
      <c r="A983" s="64"/>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spans="1:26" ht="12.75" customHeight="1">
      <c r="A984" s="64"/>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spans="1:26" ht="12.75" customHeight="1">
      <c r="A985" s="64"/>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spans="1:26" ht="12.75" customHeight="1">
      <c r="A986" s="64"/>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spans="1:26" ht="12.75" customHeight="1">
      <c r="A987" s="64"/>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spans="1:26" ht="12.75" customHeight="1">
      <c r="A988" s="64"/>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spans="1:26" ht="12.75" customHeight="1">
      <c r="A989" s="64"/>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spans="1:26" ht="12.75" customHeight="1">
      <c r="A990" s="64"/>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spans="1:26" ht="12.75" customHeight="1">
      <c r="A991" s="64"/>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spans="1:26" ht="12.75" customHeight="1">
      <c r="A992" s="64"/>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spans="1:26" ht="12.75" customHeight="1">
      <c r="A993" s="64"/>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spans="1:26" ht="12.75" customHeight="1">
      <c r="A994" s="64"/>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spans="1:26" ht="12.75" customHeight="1">
      <c r="A995" s="64"/>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spans="1:26" ht="12.75" customHeight="1">
      <c r="A996" s="64"/>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spans="1:26" ht="12.75" customHeight="1">
      <c r="A997" s="64"/>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spans="1:26" ht="12.75" customHeight="1">
      <c r="A998" s="64"/>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spans="1:26" ht="12.75" customHeight="1">
      <c r="A999" s="64"/>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spans="1:26" ht="12.75" customHeight="1">
      <c r="A1000" s="64"/>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autoFilter ref="A1:J440"/>
  <pageMargins left="0.5" right="0.5" top="1" bottom="1" header="0" footer="0"/>
  <pageSetup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APP</vt:lpstr>
      <vt:lpstr>how_to_fill_out-definitions</vt:lpstr>
      <vt:lpstr>data_validation</vt:lpstr>
      <vt:lpstr>Object Code</vt:lpstr>
      <vt:lpstr>Funding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2017-12-08T03:24:52Z</dcterms:created>
  <dcterms:modified xsi:type="dcterms:W3CDTF">2026-03-04T04:38:08Z</dcterms:modified>
</cp:coreProperties>
</file>