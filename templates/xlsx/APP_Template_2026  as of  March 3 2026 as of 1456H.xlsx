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Ejay\Desktop\procurement_app\templates\"/>
    </mc:Choice>
  </mc:AlternateContent>
  <xr:revisionPtr revIDLastSave="0" documentId="13_ncr:1_{60E49A44-2CBE-4A35-9E05-EE54F8C1E6F4}" xr6:coauthVersionLast="47" xr6:coauthVersionMax="47" xr10:uidLastSave="{00000000-0000-0000-0000-000000000000}"/>
  <bookViews>
    <workbookView xWindow="-108" yWindow="-108" windowWidth="23256" windowHeight="12456" xr2:uid="{00000000-000D-0000-FFFF-FFFF00000000}"/>
  </bookViews>
  <sheets>
    <sheet name="APP" sheetId="1" r:id="rId1"/>
    <sheet name="data_validation" sheetId="3" state="hidden" r:id="rId2"/>
  </sheets>
  <externalReferences>
    <externalReference r:id="rId3"/>
  </externalReferences>
  <definedNames>
    <definedName name="_xlnm._FilterDatabase" localSheetId="0" hidden="1">APP!$A$4:$AQ$362</definedName>
    <definedName name="_xlnm._FilterDatabase" localSheetId="1" hidden="1">data_validation!$A$1:$A$999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EL7Y1Se4hH+fqPTKAJU0fT9P32iSk/wvwuXaWrPLXdM="/>
    </ext>
  </extLst>
</workbook>
</file>

<file path=xl/calcChain.xml><?xml version="1.0" encoding="utf-8"?>
<calcChain xmlns="http://schemas.openxmlformats.org/spreadsheetml/2006/main">
  <c r="A7" i="1" l="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6" i="1"/>
  <c r="A5" i="1"/>
  <c r="K140" i="1" l="1"/>
  <c r="L140" i="1"/>
  <c r="L107" i="1" l="1"/>
  <c r="K107" i="1"/>
  <c r="K104" i="1"/>
  <c r="L104" i="1"/>
  <c r="L87" i="1" l="1"/>
  <c r="K87" i="1"/>
  <c r="L68" i="1" l="1"/>
  <c r="L65" i="1"/>
  <c r="L64" i="1"/>
  <c r="L63" i="1"/>
  <c r="K68" i="1"/>
  <c r="K65" i="1"/>
  <c r="K64" i="1"/>
  <c r="K63" i="1"/>
  <c r="K6" i="1" l="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40" i="1"/>
  <c r="K41" i="1"/>
  <c r="K42" i="1"/>
  <c r="K43" i="1"/>
  <c r="K44" i="1"/>
  <c r="K45" i="1"/>
  <c r="K46" i="1"/>
  <c r="K47" i="1"/>
  <c r="K48" i="1"/>
  <c r="K49" i="1"/>
  <c r="K50" i="1"/>
  <c r="K51" i="1"/>
  <c r="K52" i="1"/>
  <c r="K53" i="1"/>
  <c r="K5" i="1"/>
  <c r="L39" i="1"/>
  <c r="K39" i="1" s="1"/>
</calcChain>
</file>

<file path=xl/sharedStrings.xml><?xml version="1.0" encoding="utf-8"?>
<sst xmlns="http://schemas.openxmlformats.org/spreadsheetml/2006/main" count="2174" uniqueCount="472">
  <si>
    <t>Department of Budget and Management Procurement Monitoring Report as of month/day/2006</t>
  </si>
  <si>
    <t xml:space="preserve">   </t>
  </si>
  <si>
    <t>Code (PAP)</t>
  </si>
  <si>
    <t>Procurement     Program/Project</t>
  </si>
  <si>
    <t>Object Code</t>
  </si>
  <si>
    <t>PMO/End-User</t>
  </si>
  <si>
    <t>Mode of Procurement</t>
  </si>
  <si>
    <t>Schedule for Each Procurement Activity</t>
  </si>
  <si>
    <t>Source of Funds</t>
  </si>
  <si>
    <t>Estimated Budget (PhP)</t>
  </si>
  <si>
    <t>Remarks                                                                        (brief description of Program/Activity/Project)</t>
  </si>
  <si>
    <t>PMO/             End-User</t>
  </si>
  <si>
    <t>Contract Cost (PhP)</t>
  </si>
  <si>
    <t>List of Invited Observers</t>
  </si>
  <si>
    <t>Date of Receipt of Invitation</t>
  </si>
  <si>
    <t>Remarks                                                                        (Explaining changes from the APP)</t>
  </si>
  <si>
    <t>Advertisement/Posting of IB/REI</t>
  </si>
  <si>
    <t>Submission/Opening of Bids</t>
  </si>
  <si>
    <t>Notice of Award</t>
  </si>
  <si>
    <t>Contract Signing</t>
  </si>
  <si>
    <t>Total</t>
  </si>
  <si>
    <t>MOOE</t>
  </si>
  <si>
    <t>CO</t>
  </si>
  <si>
    <t>Pre-Proc Conference</t>
  </si>
  <si>
    <t>Ads/Post of IAEB</t>
  </si>
  <si>
    <t>Pre-bid Conf</t>
  </si>
  <si>
    <t>Eligibility Check</t>
  </si>
  <si>
    <t>Sub/Open of Bids</t>
  </si>
  <si>
    <t>Bid Evaluation</t>
  </si>
  <si>
    <t>Post Qual</t>
  </si>
  <si>
    <t>Contract Award</t>
  </si>
  <si>
    <t>Notice to Proceed</t>
  </si>
  <si>
    <t>Delivery/ Accept</t>
  </si>
  <si>
    <t>Payment Process</t>
  </si>
  <si>
    <t>Pre-Proc Conf</t>
  </si>
  <si>
    <t>Competitive Bidding (Public Bidding)</t>
  </si>
  <si>
    <t>Regular Agency Fund (01000000)</t>
  </si>
  <si>
    <t>Competitive Dialogue</t>
  </si>
  <si>
    <t>Foreign Assisted Projects Fund (02000000)</t>
  </si>
  <si>
    <t>Direct Acquisition</t>
  </si>
  <si>
    <t>Special Account - Locally Funded/Domestic Grants Fund (03000000)</t>
  </si>
  <si>
    <t xml:space="preserve">Direct Contracting </t>
  </si>
  <si>
    <t>Special Account - Foreign Assisted/Foreign Grants Fund (04000000)</t>
  </si>
  <si>
    <t>Direct Procurement for Science, Technology and Innovation</t>
  </si>
  <si>
    <t>Internally Generated Funds (05000000)</t>
  </si>
  <si>
    <t>Direct Retail Purchase of POL and Airline Tickets</t>
  </si>
  <si>
    <t>Business Related Funds (06000000)</t>
  </si>
  <si>
    <t>Direct Sales</t>
  </si>
  <si>
    <t>Trust Receipts (07000000)</t>
  </si>
  <si>
    <t>International Competitive Bidding - Others</t>
  </si>
  <si>
    <t>Limited Source Bidding</t>
  </si>
  <si>
    <t>National Competitive Bidding - Others</t>
  </si>
  <si>
    <t>Negotiated Procurement  - Adjacent / Contiguous</t>
  </si>
  <si>
    <t xml:space="preserve">Negotiated Procurement  - Take-over of Contracts </t>
  </si>
  <si>
    <t>Negotiated Procurement - Agency to Agency</t>
  </si>
  <si>
    <t>Negotiated Procurement - Community Participation</t>
  </si>
  <si>
    <t>Negotiated Procurement - Defense Cooperation Agreement</t>
  </si>
  <si>
    <t xml:space="preserve">Negotiated Procurement - Emergency Cases </t>
  </si>
  <si>
    <t xml:space="preserve">Negotiated Procurement - Highly Technical Consultants </t>
  </si>
  <si>
    <t>Negotiated Procurement - Lease of Real Property and Venue</t>
  </si>
  <si>
    <t>Negotiated Procurement - NGO Participation</t>
  </si>
  <si>
    <t>Negotiated Procurement - Two Failed Biddings</t>
  </si>
  <si>
    <t xml:space="preserve">Negotiated Procurement - United Nations Agencies </t>
  </si>
  <si>
    <t>NP - Scientific, Scholarly/Artistic Work, Exclusive Tech. &amp; Media Service</t>
  </si>
  <si>
    <t>Renewal of Contract per Appendix 21 (WETI)</t>
  </si>
  <si>
    <t>Renewal of Regular and Recurring Sevices per Appendix 37</t>
  </si>
  <si>
    <t xml:space="preserve">Repeat Order </t>
  </si>
  <si>
    <t>Shopping - Ordinary/Regular Office Supplies &amp; Equipment</t>
  </si>
  <si>
    <t>Shopping - Others</t>
  </si>
  <si>
    <t xml:space="preserve">Shopping - Unforeseen Contingency </t>
  </si>
  <si>
    <t>Small Value Procurement</t>
  </si>
  <si>
    <t>Unsolicited Offer with Bid Matching</t>
  </si>
  <si>
    <t>5020101000</t>
  </si>
  <si>
    <t>5020201000</t>
  </si>
  <si>
    <t>5020301000</t>
  </si>
  <si>
    <t>5020305000</t>
  </si>
  <si>
    <t>5020307000</t>
  </si>
  <si>
    <t>5020308000</t>
  </si>
  <si>
    <t>5020309000</t>
  </si>
  <si>
    <t>5020310000</t>
  </si>
  <si>
    <t>5020311001</t>
  </si>
  <si>
    <t>5020313000</t>
  </si>
  <si>
    <t>5020321002</t>
  </si>
  <si>
    <t>5020321004</t>
  </si>
  <si>
    <t>5020399000</t>
  </si>
  <si>
    <t>5021304000</t>
  </si>
  <si>
    <t>5021305000</t>
  </si>
  <si>
    <t>5021308004</t>
  </si>
  <si>
    <t>5021601000</t>
  </si>
  <si>
    <t>5029902000</t>
  </si>
  <si>
    <t>5029903000</t>
  </si>
  <si>
    <t>5029905001</t>
  </si>
  <si>
    <t>5029907000</t>
  </si>
  <si>
    <t>5060405003</t>
  </si>
  <si>
    <t>5060405015</t>
  </si>
  <si>
    <t>REGISTRAR</t>
  </si>
  <si>
    <t>Procurement of Executive Chair  the University  Registrar</t>
  </si>
  <si>
    <t xml:space="preserve"> necessary to support the  daily operation of the University's, these include miscellaneous items, consumables,  and operational materials.</t>
  </si>
  <si>
    <t>Procurement of Various IT Equipment and Accessories  the University  Registrar</t>
  </si>
  <si>
    <t>Procurement of  Dry Seal for the University  Registrar</t>
  </si>
  <si>
    <t>Procurement of  Paper Shredder for the University  Registrar</t>
  </si>
  <si>
    <t>Procurement of  Various Office Suppliesr for the University  Registrar</t>
  </si>
  <si>
    <t>CSWCD</t>
  </si>
  <si>
    <t>Procurement of  Various Office Equipment for the University  CSWCD</t>
  </si>
  <si>
    <t>CSM</t>
  </si>
  <si>
    <t>Procurement of Steel Filling Cabinet for the University  CSM</t>
  </si>
  <si>
    <t>Subscription of Software for the University CSM</t>
  </si>
  <si>
    <t>Procurement of Various Equipment for the University CSM</t>
  </si>
  <si>
    <t>Procurement of  Shredder for the University  ILS HIGH SCHOOL</t>
  </si>
  <si>
    <t>Procurement of  Various Office Supplies for the University  ILS HIGH SCHOOL</t>
  </si>
  <si>
    <t>Procurement of  Printing Services for the University  ILS HIGH SCHOOL</t>
  </si>
  <si>
    <t>Procurement of  Tokens and Awards for the University  ILS HIGH SCHOOL</t>
  </si>
  <si>
    <t>Procurement of  Emergency Lights for the University  ILS HIGH SCHOOL</t>
  </si>
  <si>
    <t>CN</t>
  </si>
  <si>
    <t>Procurement of  Electrical Supplies for the University CN</t>
  </si>
  <si>
    <t>Procurement of Office Table for the University CN</t>
  </si>
  <si>
    <t>Procurement of Various IT Accessories and Peripherals for the University CN</t>
  </si>
  <si>
    <t>Procurement of Various Janitorial Supplies  for the University CN</t>
  </si>
  <si>
    <t>Procurement of Various Equipment  for the University CN</t>
  </si>
  <si>
    <t>Procurement of Various Supplies, Devices, and Consumables and t  for the University CN</t>
  </si>
  <si>
    <t>CAIS</t>
  </si>
  <si>
    <t>Procurement of Meals for conducting various activities at the University CAIS</t>
  </si>
  <si>
    <t>Procurement of Office Chairs  for the University CAIS</t>
  </si>
  <si>
    <t>Procurement of Vaious Janitorial Supplies  for the University CAIS</t>
  </si>
  <si>
    <t>CLAW</t>
  </si>
  <si>
    <t>Procurement of Various Appliances for the University CLAW</t>
  </si>
  <si>
    <t>Procurement of Various IT Equipment and Accesories  for the University CLAW</t>
  </si>
  <si>
    <t>Subscribtion Software  for the University CLAW</t>
  </si>
  <si>
    <t xml:space="preserve">CLA </t>
  </si>
  <si>
    <t>Procurement of LCD Projector for the University CLA</t>
  </si>
  <si>
    <t>Procurement of Various Furnitures for the University CLA</t>
  </si>
  <si>
    <t>Procurement of Various Equipments for the University CLA</t>
  </si>
  <si>
    <t>Procurement of Various Office Supplies and Consumables for the University CLA</t>
  </si>
  <si>
    <t>Procurement of Psychology testing Material software  for the University CLA</t>
  </si>
  <si>
    <t>Procurement of Various Furnitures  for the University CM</t>
  </si>
  <si>
    <t>Procurement of Various Janitorial Supplies for the University CM</t>
  </si>
  <si>
    <t>Procurement of Stainless Dressing Cart for the University CM</t>
  </si>
  <si>
    <t>Procurement of Various Supplies and Consumables for the University CM</t>
  </si>
  <si>
    <t>SUBSCRIPTION (JOURNAL MEDICINE) for the University CM</t>
  </si>
  <si>
    <t>Procurement of Various Equipment  for the Increase in Carrying Capacity of the College of Medicine</t>
  </si>
  <si>
    <t>CPADS</t>
  </si>
  <si>
    <t>Procurement of Various IT  for the University CPADS</t>
  </si>
  <si>
    <t>Procurement of Various Equipment  for the University CPADS</t>
  </si>
  <si>
    <t>Procurement of Various Office Supplies for the University CPADS</t>
  </si>
  <si>
    <t>Procurement of Furniture  for the University CPADS</t>
  </si>
  <si>
    <t>CHE</t>
  </si>
  <si>
    <t>Procurement of Meals Various Training, Workshop and Seminar  for the University CHE</t>
  </si>
  <si>
    <t>Procurement Of Construction Material for the Repair of the Stock Room University CHE</t>
  </si>
  <si>
    <t>CCJE</t>
  </si>
  <si>
    <t>Procurement of Various Supplies and Devices for the University CCJE</t>
  </si>
  <si>
    <t>CSSPE</t>
  </si>
  <si>
    <t>Procurement of Various Furniture  for the University  CSSPE</t>
  </si>
  <si>
    <t>Procurement of Various Equipment for the University  CSSPE</t>
  </si>
  <si>
    <t>Procurement of KYOCERA Toner TK-1175 for the University  CSSPE</t>
  </si>
  <si>
    <t>Procurement of Laptop for the University Faculty</t>
  </si>
  <si>
    <t>Procurement of Varrious Furniture for the University Academe</t>
  </si>
  <si>
    <t>ILS HS</t>
  </si>
  <si>
    <t>CLA</t>
  </si>
  <si>
    <t>CM</t>
  </si>
  <si>
    <t>VPPA</t>
  </si>
  <si>
    <t>COMPETITIVE BIDDING</t>
  </si>
  <si>
    <t xml:space="preserve"> necessary to support the  daily operation of the University's Water Refilling Station, these include miscellaneous items, consumables,  and operational materials.</t>
  </si>
  <si>
    <t>EXAMSOFT ASSESSMENT PLATFORM</t>
  </si>
  <si>
    <t>Printing and Binding of Tarpaulins for the University CLA</t>
  </si>
  <si>
    <t>Procurement of Meals for the conduct of the Accreditation to the University CLA</t>
  </si>
  <si>
    <t>Procurement of Tokens for the conduct of the Accreditation to the University CLA</t>
  </si>
  <si>
    <t>Printing and Binding of Tarpaulins for the University CHE</t>
  </si>
  <si>
    <t>Procurement of Tokens for the conduct of the Accreditation to the University CHE</t>
  </si>
  <si>
    <t>COE</t>
  </si>
  <si>
    <t>Procurement of Meals for the conduct of the Accreditation to the University COE</t>
  </si>
  <si>
    <t>Printing and Binding of Tarpaulins for the University COE</t>
  </si>
  <si>
    <t>Procurement of Tokens for the University COE</t>
  </si>
  <si>
    <t>For Accreditation</t>
  </si>
  <si>
    <t>PRC Licensure Result Certification of BS ABE, BSCE, BSEE, BSECE, BSME, BSGE, BSSE and DOC Stamp</t>
  </si>
  <si>
    <t>Various Activities</t>
  </si>
  <si>
    <t>Proocurement of Tarpaulins for University External Studies Unit</t>
  </si>
  <si>
    <t>Proocurement of Projectors for University External Studies Unit</t>
  </si>
  <si>
    <t>Proocurement of Fuels for University External Studies Unit</t>
  </si>
  <si>
    <t>Proocurement of Furnitures for University External Studies Unit</t>
  </si>
  <si>
    <t xml:space="preserve">Procurement of Monoblack Arm Chair for Olutanga  External Studies Campus </t>
  </si>
  <si>
    <t>Proocurement of Led Monitors for University External Studies Unit</t>
  </si>
  <si>
    <t>Proocurement of Various IT Peripheral for University External Studies Unit</t>
  </si>
  <si>
    <t>Proocurement of Various Janitorial Supplies for University External Studies Unit</t>
  </si>
  <si>
    <t>Rental of  School Building for Pagadian External Studies Campus</t>
  </si>
  <si>
    <t>Proocurement of Various Medical Supplies for University External Studies Unit</t>
  </si>
  <si>
    <t>Proocurement of Various Equipment for University External Studies Unit</t>
  </si>
  <si>
    <t>Proocurement of Various Supplies and Consumables for University External Studies Unit</t>
  </si>
  <si>
    <t>Subscription of Internet Connection for Olutanga</t>
  </si>
  <si>
    <t>ESU</t>
  </si>
  <si>
    <t>Miscellaneous Expenses for University External Studies Unit Accreditation</t>
  </si>
  <si>
    <t>Procurement of Various AGRICULTURAL Chemicals for  the University  Research Activity</t>
  </si>
  <si>
    <t>Procurement of Various AGRICULTURAL Equipment for  the University  Research Activity</t>
  </si>
  <si>
    <t>Procurement of Various Appliances for  the University  Research Activity</t>
  </si>
  <si>
    <t>Procurement of Projectorfor  the University  Research Activity</t>
  </si>
  <si>
    <t>Procurement of Various Chemical   the University  Research Activity</t>
  </si>
  <si>
    <t>Procurement of Various IT Equipment and Perip for the University  Research Activity</t>
  </si>
  <si>
    <t>Procurement of Printing Services for the University  Research Activity</t>
  </si>
  <si>
    <t>Procurement of Various Electrical Supplies for the University  Research Activity</t>
  </si>
  <si>
    <t>Procurement of Various Furnitures for the University  Research Activity</t>
  </si>
  <si>
    <t>Procurement of Various Janitorial Supplies for the University  Research Activity</t>
  </si>
  <si>
    <t>Procurement of Various Medical Equipment and Supplies for the University  Research Activity</t>
  </si>
  <si>
    <t>Procurement of Various Supplies and Consumables for the University Research Activty</t>
  </si>
  <si>
    <t>Procurement of Various Software Subscription for the University Research Activty</t>
  </si>
  <si>
    <t>Procurement of Room Accomdation for the conduct of Sustaining Traditions, Securing Tomorrows: Women at the Heart of Food Security and Sustainability f</t>
  </si>
  <si>
    <t xml:space="preserve">Procurement of Venue for the Conduct various activties for the University Research </t>
  </si>
  <si>
    <t>Research</t>
  </si>
  <si>
    <t>Procurement of Various Seeds for  the University  Research Activity</t>
  </si>
  <si>
    <t>Procurement of Various AGRICULTURAL MACHINERY AND EQUIPMENT for  the University  Extention</t>
  </si>
  <si>
    <t>Procurement of Various AGRICULTURAL PRODUCTST for  the University  Extention</t>
  </si>
  <si>
    <t>Procurement of Various APPLIANCES for  the University  Extention</t>
  </si>
  <si>
    <t>Procurement of Various Audio Visual Equipment for  the University  Extention</t>
  </si>
  <si>
    <t>Procurement of Tarpaulins for  the University  Extention Activities</t>
  </si>
  <si>
    <t>Procurement of Various Educational Materials and Supplies  for the University  Extention Activities</t>
  </si>
  <si>
    <t>Procurement of Various Equipments for the  University  Extention Activities</t>
  </si>
  <si>
    <t>Procurement of Various IT Equipment and Perip for the  University  Extention Activities</t>
  </si>
  <si>
    <t>Procurement of Various Janitorials Supplies for the  University  Extention Activities</t>
  </si>
  <si>
    <t>Rental of Space for the conduct of Various Activities for University Extension Activities</t>
  </si>
  <si>
    <t>Procurement of Various Medical Supplies  for University Extension Activities</t>
  </si>
  <si>
    <t>Procurement of VariousEquipment  for University Extension Activities</t>
  </si>
  <si>
    <t>Procurement of Various Supplies and Consumables  for University Extension Activities</t>
  </si>
  <si>
    <t>Procurement of Various Printing Services for University Extension Activities</t>
  </si>
  <si>
    <t>Procurement of Arnis Stick for University Extension Activities</t>
  </si>
  <si>
    <t>Extension</t>
  </si>
  <si>
    <t xml:space="preserve">Supply and Delivery of Tokens for the University Extension </t>
  </si>
  <si>
    <t>Procurement of Vehicle Parts and Accesoriesf or the University  Water Refilling Station</t>
  </si>
  <si>
    <t>Procurement of Office Supplies and Devices  for the University  Water Refilling Station</t>
  </si>
  <si>
    <t>Procurement of  Annual and Monthly Potability Test for the University Water Refilling Station</t>
  </si>
  <si>
    <t>Procurement of Meals for the University  Center for Continuing Education for Various Training</t>
  </si>
  <si>
    <t xml:space="preserve">Procurement of Flash Drives and Laptops for the University  Center for Continuing Education </t>
  </si>
  <si>
    <t xml:space="preserve">Procurement of Janitorial Supplies for the University  Center for Continuing Education </t>
  </si>
  <si>
    <t xml:space="preserve">Procurement of Equipment for the University  Center for Continuing Education </t>
  </si>
  <si>
    <t xml:space="preserve">Procurement of Supplies and Consumables for the University  Center for Continuing Education </t>
  </si>
  <si>
    <t>Procurement of Resource Person Room Accommodation for the University  Center for Continuing Education Various Training</t>
  </si>
  <si>
    <t>Procurement of Airfare/Land Fare for the University  Center for Continuing Education, Various Training</t>
  </si>
  <si>
    <t>Procurement of Lights and Sound for the University  Center for Continuing Education</t>
  </si>
  <si>
    <t>Procurement of Tokens and Awards for the University  Center for Continuing Education Various Training</t>
  </si>
  <si>
    <t>Supply and Delivery of Various Agricultural Chemicals for the University College of Agrculture</t>
  </si>
  <si>
    <t>Supply and Delivery of Lawn Mower and  Power Sprayer for the University College of Agriculture</t>
  </si>
  <si>
    <t>Supply and Delivery of Agricultural Products for the University College of Agriculture</t>
  </si>
  <si>
    <t>Supply and Delivery of Electrical Supplies for the University College of Agriculture</t>
  </si>
  <si>
    <t xml:space="preserve">Procurement of FUELSLUBRICANTS  for the University  College of Agriculture </t>
  </si>
  <si>
    <t xml:space="preserve">Repair and Maintenance of Incubator and Hatchery </t>
  </si>
  <si>
    <t>Supply and Delivery of Hardware and Construction Supplies for the University College of Agriculture</t>
  </si>
  <si>
    <t>Supply and Delivery of Janitorial Supply for the University College of Agriculture</t>
  </si>
  <si>
    <t>Supply and Delivery of  Kitchenware for the University College of Agriculture</t>
  </si>
  <si>
    <t>Supply and Delivery of Live Stocks for the University College of Agriculture</t>
  </si>
  <si>
    <t>Supply and Delivery of Equipment for the University College of Agriculture</t>
  </si>
  <si>
    <t>Supply and Delivery of Office Furniture for the University LDRRC</t>
  </si>
  <si>
    <t>Supply and Delivery of Information Technology Parts, Accessories, and Peripherals for the University LDRRC</t>
  </si>
  <si>
    <t>Supply and Delivery of Equipment for the University LDRRC</t>
  </si>
  <si>
    <t>Procurement of Office Supplies and Consumables  for the University  LDRRC</t>
  </si>
  <si>
    <t>Procurement of Dyned Subscription for the University  LDRRC</t>
  </si>
  <si>
    <t>Supply and Delivery of Office Furniture for the University UPRESS</t>
  </si>
  <si>
    <t>Procurement of Office Supplies and Consumables  for the University  UPRESS</t>
  </si>
  <si>
    <t>Supply and Delivery of Office Equipment for the University UPRESS</t>
  </si>
  <si>
    <t>Supply and Delivery of IT Accessories for the University UPRESS</t>
  </si>
  <si>
    <t>Supply and Delivery of Furnitue and Equipment  for the University Garments</t>
  </si>
  <si>
    <t>Supply and Delivery of PE Uniform  for the University Garments</t>
  </si>
  <si>
    <t>Supply and Delivery of Various Garments and Accessories for the University Garments</t>
  </si>
  <si>
    <t xml:space="preserve">Repair and Maintenance of Machionery </t>
  </si>
  <si>
    <t>Supply and Delivery of Laptop for the University Garments</t>
  </si>
  <si>
    <t>Procurement of Janitorial Supplies for the University  Garments</t>
  </si>
  <si>
    <t>Supply and Delivery of  Equipment  for the University Garments</t>
  </si>
  <si>
    <t>Procurement of Office Supplies for the University  Garments</t>
  </si>
  <si>
    <t>Supply and Delivery of Tokens for the University Garments</t>
  </si>
  <si>
    <t>Supply and Delivery of Kitchebware for the University Food Serice</t>
  </si>
  <si>
    <t>Procurement of Office Supplies for the University  Food Service</t>
  </si>
  <si>
    <t>Supply and Delivery of Split Type Aircondition Unit with Installation for the OVPRG</t>
  </si>
  <si>
    <t>Procurement of Extension Wire for the OVPRG</t>
  </si>
  <si>
    <t>Supply and Delivery of Appliances  for the OVPRG</t>
  </si>
  <si>
    <t>Supply and Delivery Curtain Blinds and Curtain  with Installation for the OVPRG</t>
  </si>
  <si>
    <t>Supply and Delivery of Furniture  for the OVPRG</t>
  </si>
  <si>
    <t>Supply and Delivery of IT Parts and Accesories  for the OVPRG</t>
  </si>
  <si>
    <t>Procurement of Floor Polisher for the OVPRG</t>
  </si>
  <si>
    <t>Procurement of Janitorial Supplies for the OVPRG</t>
  </si>
  <si>
    <t>Supply and Delivery of Office Equipment for the University OVPRG</t>
  </si>
  <si>
    <t>Procurement of Office Supplies and Consumables for the OVPRG</t>
  </si>
  <si>
    <t>Procurement of Souvenier Item for the OVPRG</t>
  </si>
  <si>
    <t>Procurment of Electrical Supplies for the University's RICME</t>
  </si>
  <si>
    <t>Procurment of Hardware Supplies for the University's RICME</t>
  </si>
  <si>
    <t>Procurment of  3D Filament and 3d Resin Material  for the University's RICME</t>
  </si>
  <si>
    <t>Software Subscription for the University's RICME</t>
  </si>
  <si>
    <t>Supply and Delivery of Appliances for the University's Dormitory</t>
  </si>
  <si>
    <t>Procurement of Janitorial Supplies  for the University's Dormitory</t>
  </si>
  <si>
    <t>Procurement of Office Supplies for the University's Dormitory</t>
  </si>
  <si>
    <t>Resource Generation</t>
  </si>
  <si>
    <t>Supply and Delivery of Animal Feeds for the University College of Agriculture</t>
  </si>
  <si>
    <t>Procurement of Food Stuff for the University  Food Service</t>
  </si>
  <si>
    <t>Procurement of Chemical Detergent for the University RICME</t>
  </si>
  <si>
    <t>Procuremen of LED Bulb for the University's Dormitory</t>
  </si>
  <si>
    <t>Procuremen of Lavatory Faucet  for the University's Dormitory</t>
  </si>
  <si>
    <t>Procurment of Medicinal Kits  for the University's Dormitory</t>
  </si>
  <si>
    <t>Procurement of Multi-Format Video  Switcher with 10.1 Inch Touchscreen for the University  MISTO</t>
  </si>
  <si>
    <t>Procurement of Wireless Intercom Headset System for the University  MISTO</t>
  </si>
  <si>
    <t>Procurement of Automatic Room Lighting System Using Motion Detection  for the University  MISTO</t>
  </si>
  <si>
    <t>Supplyand Delivery of  Furniture   for the University  MISTO</t>
  </si>
  <si>
    <t>Supplyand Delivery of  INFORMATION TECHNOLOGY EQUIPMENT AND ACCESORIES  for the University  MISTO</t>
  </si>
  <si>
    <t>TEC</t>
  </si>
  <si>
    <t>Supply and Delivery of Furniture for the University  TEC</t>
  </si>
  <si>
    <t>Procurement of Wireless Routerfor the University  TEC</t>
  </si>
  <si>
    <t>Supply and Delivery of Office Equipment for the University  TEC</t>
  </si>
  <si>
    <t>Procurement of Office Equipmnet Supplies and Consumables for the University  TEC</t>
  </si>
  <si>
    <t>Supply amnd Delivery of MEDICAL SUPPLIES AND LABORATORY INSTRUMENT for the University   CN LAB</t>
  </si>
  <si>
    <t>Procurement of Office Supplie sand ConsumablesSupplies for the University  CN-RLE</t>
  </si>
  <si>
    <t>Procurement of Electrical Supplies for the University  CN-RLE</t>
  </si>
  <si>
    <t>Procurement of Venetian Roller Blinds   for the University  CN-RLE</t>
  </si>
  <si>
    <t>Supply and Delivery of FURNITURE  for the University  CN-RLE</t>
  </si>
  <si>
    <t>SCUAA</t>
  </si>
  <si>
    <t>Supply and Delivery of Athletics Uniform for the University</t>
  </si>
  <si>
    <t>Supply and Delivery of Athletics Uniform for the University Palaro</t>
  </si>
  <si>
    <t xml:space="preserve">Procurement of Medals  for the University Palaro </t>
  </si>
  <si>
    <t xml:space="preserve">Procurement of  Varoius Sporting Goods  for the University </t>
  </si>
  <si>
    <t>Procurement of  Trophy and Plaque for the University Palaro</t>
  </si>
  <si>
    <t>Procurement of  Junior Executive Chair for the University CSM LAB</t>
  </si>
  <si>
    <t>Supply and Delivery of HARDWARE AND CONSTRUCTION SUPPLIES for the University CSM LAB</t>
  </si>
  <si>
    <t>Procurement of Janitorial Supplies for the University   CSM LAB</t>
  </si>
  <si>
    <t>Procurement of LABORATORY SUPPLIES AND EQUIPMENT for the University   CSM LAB</t>
  </si>
  <si>
    <t>Procurement of Emergency Lights for the University   CSM LAB</t>
  </si>
  <si>
    <t>Procurement of Office Supplies and Consumabkes  for the University   CSM LAB</t>
  </si>
  <si>
    <t>Procurement of Projector  for the University   CSS</t>
  </si>
  <si>
    <t>Procurement of Furnitures  for the University   CSS</t>
  </si>
  <si>
    <t>Procurement of IT Parts and Accesories for the University   CSS</t>
  </si>
  <si>
    <t>Procurement of Appliances for the University Health Service</t>
  </si>
  <si>
    <t>Procurement of Computer Table  for the University Health Service</t>
  </si>
  <si>
    <t>Laboratory Services For The Mandatory Randomized Drug Testing Of College, Postgraduate, And Postbaccalaureate Students</t>
  </si>
  <si>
    <t>Supply and Delivery of DRUGS AND MEDICINES for the University Health Service</t>
  </si>
  <si>
    <t>Procurement of Fuel for the University Health Service</t>
  </si>
  <si>
    <t>Procurement of Furniture for the University Health Service</t>
  </si>
  <si>
    <t>Procurement of Laptop University for the Health Service</t>
  </si>
  <si>
    <t>Procurement of Medical Equipment for the University Health Service</t>
  </si>
  <si>
    <t>Procurement of MEDICAL SUPPLIES AND LABORATORY INSTRUMENT for the  University Health Service</t>
  </si>
  <si>
    <t>Procurement of Offce Supplies for the  University Health Service</t>
  </si>
  <si>
    <t>Prinitng Services for the  University Health Service</t>
  </si>
  <si>
    <t>Procurement of Desktop University for the Health Service</t>
  </si>
  <si>
    <t>Procurement Printer  for the University Health Service</t>
  </si>
  <si>
    <t>OCTA</t>
  </si>
  <si>
    <t>Procurement No More Nails for the University  OCTA</t>
  </si>
  <si>
    <t>Procurement Curtain Blinds for the University  OCTA</t>
  </si>
  <si>
    <t>Procurement of Flutted Panel for the University  OCTA</t>
  </si>
  <si>
    <t>Procurement of Costume for the University  OCTA</t>
  </si>
  <si>
    <t>Procurement of  Smart TV and Laptop  for the University  OCTA</t>
  </si>
  <si>
    <t>Procurement of Offce Supplies for the  University OCTA</t>
  </si>
  <si>
    <t>Procurement of Electric Fan for the  University OCTA</t>
  </si>
  <si>
    <t>GUIDANCE</t>
  </si>
  <si>
    <t xml:space="preserve">Procurement of PSYCHOLOGICAL TESTING MATERIALS  for the  University Guidance </t>
  </si>
  <si>
    <t xml:space="preserve">Procurement of a STEEL FILING CABINET for the  University Guidance </t>
  </si>
  <si>
    <t xml:space="preserve">Procurement of wireles PPT presentation for the  University Guidance </t>
  </si>
  <si>
    <t xml:space="preserve">Procurement of Janitorial Supplies  presentation for the  University Guidance </t>
  </si>
  <si>
    <t xml:space="preserve">Procurement of Equipments  for the  University Guidance </t>
  </si>
  <si>
    <t xml:space="preserve">Procurement of Office Supplies   for the  University Guidance </t>
  </si>
  <si>
    <t>Procurement of Kitchenware   for the  University CHE LAB</t>
  </si>
  <si>
    <t>Procurement of BEDCLOTHES, LINENS AND TOWELS  for the  University CHE RLE</t>
  </si>
  <si>
    <t>LIBRARY</t>
  </si>
  <si>
    <t>Procurement of Vaious Books for the  University Library</t>
  </si>
  <si>
    <t>Procurement of Janitorial Supplies for the  University Library</t>
  </si>
  <si>
    <t>Procurement of Office Equipment for the  University Library</t>
  </si>
  <si>
    <t>Procurement of Office Supplies for the  University Library</t>
  </si>
  <si>
    <t>Procurement of Printing Materials for the  University Library</t>
  </si>
  <si>
    <t>Procurement of IT Accessories and Perip  for the  University CLA</t>
  </si>
  <si>
    <t>MISTO</t>
  </si>
  <si>
    <t>CN LAB</t>
  </si>
  <si>
    <t>CN RLE</t>
  </si>
  <si>
    <t>ATHLECTICS</t>
  </si>
  <si>
    <t>CSS</t>
  </si>
  <si>
    <t>UHS</t>
  </si>
  <si>
    <t xml:space="preserve">CHE </t>
  </si>
  <si>
    <t>Procurement of Janitorial Suppliues for the University   CN LAB</t>
  </si>
  <si>
    <t>Procurement of Morning Towel or the University   CN LAB</t>
  </si>
  <si>
    <t>Multimedia Computer</t>
  </si>
  <si>
    <t>Uninterruptible Power Supply</t>
  </si>
  <si>
    <t>Office Productivity Software</t>
  </si>
  <si>
    <t>Endpoint Detection Software</t>
  </si>
  <si>
    <t>General Purpose Laptops</t>
  </si>
  <si>
    <t xml:space="preserve">Office Productivity Software
</t>
  </si>
  <si>
    <t>Special Purpose Laptops</t>
  </si>
  <si>
    <t>Laptops for Executives</t>
  </si>
  <si>
    <t>All-In-One PC</t>
  </si>
  <si>
    <t xml:space="preserve">Uninterruptible Power Supply
</t>
  </si>
  <si>
    <t>All-In-One Printer</t>
  </si>
  <si>
    <t>Plotter Printer</t>
  </si>
  <si>
    <t xml:space="preserve">RTF Drone
</t>
  </si>
  <si>
    <t>Mirrorless Camera Body  Only</t>
  </si>
  <si>
    <t>Video Camera with Tripod</t>
  </si>
  <si>
    <t>Camera Lens  Only</t>
  </si>
  <si>
    <t xml:space="preserve">Digital Assessment Platform(Barexam)
   </t>
  </si>
  <si>
    <t>Cloud-based Productivity and Management suite</t>
  </si>
  <si>
    <t xml:space="preserve">Smart Interactive Board
</t>
  </si>
  <si>
    <t>Tables with Chairs</t>
  </si>
  <si>
    <t>Cooling Equipment</t>
  </si>
  <si>
    <t>Dome Camera</t>
  </si>
  <si>
    <t>Indoor Access Point</t>
  </si>
  <si>
    <t xml:space="preserve">12-Ports Access POE Switch  </t>
  </si>
  <si>
    <t>Project Management</t>
  </si>
  <si>
    <t>Conversion of Classrooms to E-Classrooms</t>
  </si>
  <si>
    <t>Smart Interactive Board</t>
  </si>
  <si>
    <t>All-IN-One PC</t>
  </si>
  <si>
    <t>Office Productivity Software
Core Features
Word Processing 
Spreadsheet 
Presentation
Email &amp; Calendar
Database 
Compatibility
Operating Systems: Windows 10/11, macOS (latest versions),
Device Access: Supports PC, laptop, tablet, and mobile access
Deployment
License Type: Perpetual or annual subscription (volume license or individual)
User Count: Can be single-user or multi-user with admin console
Installation: Local install and/or web-based (browser access)</t>
  </si>
  <si>
    <t xml:space="preserve">Endpoint Detection Software
Core Protection Features
Real-Time Protection
Constant scanning and monitoring of files, applications, and network activity
Blocks known malware, ransomware, spyware, trojans, worms, and rootkits in real time
On-Demand and Scheduled Scanning
Manual and scheduled scans for full system, quick, or custom areas
Scans external devices (USBs, network drives) automatically upon connection
Heuristic and Behavioral Analysis
Detects unknown or zero-day threats using behavior monitoring and AI models
Flags suspicious activity based on file behavior, process behavior, and system changes
Ransomware Protection
Monitors file access patterns and prevents unauthorized encryption of data
Rollback capabilities to restore files encrypted by ransomware
Email and Web Protection
Scans incoming/outgoing emails, attachments, and web downloads
Blocks phishing sites, unsafe URLs, and scripts in browsers
Security &amp; Compliance
Automatic Updates
Virus definitions and engine updates happen automatically in real-time
Frequent updates from a cloud-based or centralized threat intelligence platform
Quarantine &amp; File Vault
Infected or suspicious files are isolated in a secure area for review/removal
Password-Protected Settings
Prevents users from disabling or modifying antivirus settings
Management and Usability
Centralized Management Console (for enterprise use)
Deploy, configure, monitor, and manage antivirus agents across endpoints
View threat logs, update status, and generate compliance reports
Low Resource Usage
Optimized to run without significant impact on system performance (CPU/memory usage)
User-Friendly Interface
Clear, intuitive dashboard for individual users
Simple threat alerts and action recommendations
Integration &amp; Compatibility
Operating System Support
Windows 10/11, macOS, and major Linux distributions
Optional support for Android/iOS for mobile protection
SIEM/EDR Integration
Compatible with third-party security tools (SIEM, firewalls, EDR solutions)
Support
24/7 Support
Phone, chat, and email support available year-round
Regular knowledge base updates and community forums
</t>
  </si>
  <si>
    <t>12-Ports Access POE Switch</t>
  </si>
  <si>
    <t>Conversion of Classrooms to E-Laboratory</t>
  </si>
  <si>
    <t>Core Switch</t>
  </si>
  <si>
    <t xml:space="preserve">Distribution Switch </t>
  </si>
  <si>
    <t>Transceiver</t>
  </si>
  <si>
    <t>Next Generation Firewall</t>
  </si>
  <si>
    <t>Indoor Access Point
E-Classrooms, offices and other indoor areas will be configured with wireless connection supported by Access Points. 120 units of indoor APs shall be deployed across the campuses while quantities for eClassrooms and eLaboratories were described in its respective sections.
 key features:	
-	1.49 Gbps maximum real-world speed (HE80/HE20)
-	WPA3 and Enhanced Open security
-	Built-in technology that resolves sticky client issues for Wi-Fi 6 
            and Wi-Fi 5 devices
-	OFDMA for enhanced multi-user efficiency
-	IoT-ready Bluetooth 5 and Zigbee support
Specifications.
-	AP type Indoor, dual radio, 5 GHz and 2.4 GHz 802.11ax 2x2 MIMO
-	5 GHz radio Two spatial stream Single User (SU) MIMO for 
            up to 1.2 Gbps wireless data rate with 2SS HE80 802.11ax 
            client devices
-	2.4 GHz radio Two spatial stream Single User (SU) MIMO for 
            up to 574 Mbps (287 Mbps) wireless data rate with 2SS 
            HE40 (HE20) 802.11ax client devices
-	Maximum number of associated client devices Up to 256 
            associated client devices per radio
-	Maximum number of BSSIDs is 16 BSSIDs per radio
-	Two integrated dual-band down tilt omni-directional antennas 
            for 2x2 MIMO with peak antenna gain of 4.9 dBi in 2.4 GHz 
            and 5.7 dBi in 5 GHz. Built-in antennas are optimized for 
            horizontal ceiling mounted orientation of the AP. The down tilt 
            angle for maximum gain is roughly 30 degrees. Combining the 
            patterns of each of the antennas of the MIMO radios, the peak 
            gain of the combined, average pattern is 4.3 dBi in 2.4 GHz and 
            5.6 dBi in 5 GHz.
-	E0: Ethernet wired network port (RJ-45)
-	Auto-sensing link speed (10/100/1000BASE-T) and MDI/MDX
-	PoE-PD: 48Vdc (nominal) 802.3af/at PoE (class 3 or 4)
-	802.3az Energy Efficient Ethernet (EEE)
-	Features include Orthogonal frequency-division multiple access (OFDMA), and cellular optimization. With up to 2 spatial streams (2SS) and 80 MHz channel bandwidth (HE80), the 500 Series provides groundbreaking wireless capabilities for budget-conscious deployments.
-	Handle multiple Wi-Fi 6 capable clients on each channel simultaneously, regardless of device or traffic type. Channel utilization is optimized by handling each transaction via smaller sub-carriers or resource units (RUs), which means that clients are sharing a channel and not competing for airtime and bandwidth.
-	Eliminates sticky client issues by placing Wi-Fi 6 capable devices on the best available AP. Session metrics are used to steer mobile devices to the best AP based on available bandwidth, types of applications being used and traffic type-even as users roam.
-	Uses built-in filtering to automatically minimize the impact of interference from cellular networks, distributed antenna systems (DAS), and commercial small cell or femtocell equipment.
-	Continuously monitor and report hardware energy consumption. They can also be configured to enable or disable capabilities based on available PoE power—ideal when wired switches have exhausted their power budget.
-	WPA3 and Enhanced OpenSupport for stronger encryption and authentication is provided via the latest version of WPA for enterprise protected networks. Enhanced Open offers seamless new protection for users connecting to open networks where each session is automatically encrypted to protect user passwords and data on guest networks
-	WPA2-MPSKMPSK enables simpler passkey management for WPA2 devices—should the Wi-Fi password on one device or device type change.
-	Trusted Platform Module (TPM) for enhanced device assurance.
-	High-density connectivity, each AP must provide connectivity for a maximum of 256 associated clients per radio (512 in total). In real-world scenarios, the maximum recommended client density is dependent on environmental conditions.</t>
  </si>
  <si>
    <t>Outdoor Access Points
The winning bidder shall supply, install and configure 6 units of outdoor APs.
-	Must have the following key features.
-	4x4:4SS MU-MIMO capability
-	Maximum aggregation on air data rates of 3 Gbps (HE80/HE40)
-	Uplink and Downlink Orthogonal Frequency Division Multiple Access (OFDMA), Downlink Multi-User MIMO (MU-MIMO) and cellular co-location. With up to 4 spatial stream and 160 MHz channel capability
-	AI powered technology ensures that all clients are attached to their best serving Access Point. Session metrics, network metrics, applications and client type are used to identify and maintain the best connection
-	IoT-ready Bluetooth 5 and Zigbee support
-	Multi user capability with uplink and downlink multi-user MIMO
-	Device assurance—Use of Trusted Platform Module (TPM) for secure storage of credentials and keys, as well as secure boot
-	Intelligent Power Monitoring (IPM). Enables the AP to continuously monitor and report hardware energy consumption. They can also be configured to enable or disable capabilities based on available PoE power – ideal when wired switches have exhausted their power budget.
specifications.
-	AP type: Outdoor Hardened, Wi-Fi 6 dual radio, 5 GHz 4x4 MIMO and 2.4 GHz 2x2 MIMO
-	Software-configurable dual radio supports 5 GHz (Radio 0) and 2.4 GHz (Radio 1)
5 GHz 
-	Four spatial stream Single User (SU) MIMO for up to 4.8 Gbps wireless data rate to individual 4SS HE160 Wi-Fi 6 client device (max)
-	Two spatial stream Single User (SU) MIMO for up to 1.2 Gbps wireless data rate to individual 2SS HE80 Wi-Fi 6 client device (typical) 
-	Four spatial streams Multiuser (MU) MIMO for up to 4.8 Gbps wireless data rate to up to four 1SS or two 2SS HE160 Wi-Fi 6 DL-MU-MIMO capable client devices simultaneously (max) 
-	Four spatial streams Multiuser (MU) MIMO for up to 2.4 Gbps wireless data rate to up to four 1SS or two 2SS HE80 Wi-Fi 6 DL-MU-MIMO capable client devices simultaneously (typical)
2.4 GHz
-	Two spatial stream Single User (SU) MIMO for up to 575 Mbps wireless data rate to individual 2SS HE40 Wi-Fi 6 client device (max)
-	Two spatial stream Single User (SU) MIMO for up to 287 Mbps wireless data rate to individual 2SS HE20 Wi-Fi 6 client device (typical)
-	Support for up to 512 associated client devices per radio, and up to 16 BSSIDs per radio
Supported frequency bands (country-specific restrictions apply): 
-	2.400 to 2.4835 GHz 
-	5.150 to 5.250 GHz 
-	5.250 to 5.350 GHz 
-	5.470 to 5.725 GHz 
-	5.725 to 5.850 GHz 
-	5.825 to 5.875 GHz
-	Available channels: Dependent on configured regulatory domain
-	Dynamic frequency selection (DFS) optimizes the use of available RF spectrum
-	Supported radio technologies: 
-	802.11b: Direct-sequence spread-spectrum (DSSS) 
-	802.11a/g/n/ac: Orthogonal frequency-division multiplexing (OFDM) 
-	802.11ax: Orthogonal frequency-division multiple access (OFDMA) with up to 16 resource units (RU) 
Supported modulation types: 
-	802.11b: BPSK, QPSK, CCK 
-	802.11a/g/n: BPSK, QPSK, 16-QAM, 64-QAM, 256-QAM (proprietary extension) 
-	802.11ac: BPSK, QPSK, 16-QAM, 64-QAM, 256-QAM, 1024 QAM (proprietary extension) 
-	802.11ax: BPSK, QPSK, 16-QAM, 64-QAM, 256-QAM, 1024 QAM
-	802.11n high-throughput (HT) support: HT 20/40
-	802.11ac very high throughput (VHT) support: VHT 20/40/80/160
-	802.11ax high efficiency (HE) support: HE20/40/80/160
Supported data rates (Mbps): 
-	802.11b: 1, 2, 5.5, 11
-	802.11a/g: 6, 9, 12, 18, 24, 36, 48, 54 
-	802.11n (2.4GHz): 6.5 to 300 (MCS0 to MCS15, HT20 to HT40) 
-	802.11n (5GHz): 6.5 to 600 (MCS0 to MCS31, HT20 to HT40) 
-	802.11ac: (5 GHz): 6.5 to 3,467 (MCS0 to MCS9, NSS = 1 to 4 for VHT20 to VHT160) 
-	802.11ax (2.4GHz): 8.6 to 574 (MCS0 to MCS11, NSS = 1 to 2, HE20 to HE40) 
-	802.11ax (5GHz): 8.6 to 4803 (MCS0 to MCS11, NSS = 1 to 4, HE20 to HE160)
-	802.11n/ac packet aggregation: A-MPDU, A-MSDU
-	Transmit power: Configurable in increments of 0.5 dBm
-	Maximum (conducted) transmit power (limited by local regulatory requirements): 
-	2.4 GHz band: +22 dBm per chain, +25dBm aggregate (2x2) 
-	5 GHz band: +22 dBm per chain, +28dBm aggregate (4x4)
-	Maximum EIRP (limited by local regulatory requirements): 
-	2.4 GHz band: 29.0 dBm EIRP 
-	5 GHz band: 32.6 dBm EIRP
-	Advanced Cellular Coexistence (ACC) minimizes interference from cellular networks.
-	Maximum ratio combining (MRC) for improved receiver performance.
-	Cyclic delay/shift diversity (CDD/CSD) to enable the use of multiple transmit antennas
-	Short guard interval for 20-MHz, 40-MHz, 80-MHz and 160-MHz channels.
-	Space-time block coding (STBC) for increased range and improved reception.
-	Low-density parity check (LDPC) for high-efficiency error correction and increased throughput.
-	Transmit beam-forming (TxBF) for increased signal reliability and range.
-	Maximum (worst-case) power consumption: 
-	POE powered (dual ports): 32.0W 
-	POE powered (single port, full function): 26.1W
-	E0: Multi-gig port (RJ-45) 
-	Auto-sensing link speed (100/1000/2500BASE-T) and MDI/MDX 
-	2.5Gbps speed complies with NBase-T and 802.3bz specifications 
-	PoE-PD: 48Vdc (nominal) 802.3at/bt (Class 4 or higher) - 802.3az Energy Efficient Ethernet (EEE)
-	E1: 100/1000BASE-T (RJ-45)
-	Auto-sensing link speed and MDI/MDX - 802.3az Energy Efficient Ethernet (EEE) 
-	PoE-PD: 48Vdc (nominal) 802.3at/bt (Class 4 or higher)
-	Link Aggregation (LACP) support between both network ports for redundancy and increased capacity
-	Bluetooth 5 and 802.15.4 radio 
-	2.4 GHz
-	Bluetooth 5: up to 8dBm transmit power and -95dBm receive sensitivity 
-	Zigbee: up to 8 dBm transmit power and -97dBm receive sensitivity 
-	Up to 4dBm transmit power (class 2) and -91 dBm receive sensitivity
-	Visual indicator (multi-color LED): For system and radio status
-	Reset button: Factory reset (during device power up)
-	USB-C console interface</t>
  </si>
  <si>
    <t>Out-Of-Band Switch</t>
  </si>
  <si>
    <t>Enterprise Network Management System with Campus Digital Engagement Platform Configuration and Data Governance and Privacy Management System</t>
  </si>
  <si>
    <t>Boom Barriers</t>
  </si>
  <si>
    <t>2-Pathway Turnstile</t>
  </si>
  <si>
    <t>Electromagnetic Lock System</t>
  </si>
  <si>
    <t>Access Control Terminal</t>
  </si>
  <si>
    <t>RFID System</t>
  </si>
  <si>
    <t>RFID Card</t>
  </si>
  <si>
    <t>RFID Printer</t>
  </si>
  <si>
    <t>Installation Services</t>
  </si>
  <si>
    <t>Configuration Services</t>
  </si>
  <si>
    <t>Deployment and Implementation</t>
  </si>
  <si>
    <t>Server Rack</t>
  </si>
  <si>
    <t xml:space="preserve">Power Supply
</t>
  </si>
  <si>
    <t>Leaf Switch</t>
  </si>
  <si>
    <t>Spine Switch</t>
  </si>
  <si>
    <t>Server Compute Nodes</t>
  </si>
  <si>
    <t>Training/Knowledge Transfer</t>
  </si>
  <si>
    <t>Installation and Configuration Services</t>
  </si>
  <si>
    <t>OS Hardening Services</t>
  </si>
  <si>
    <t>Data Analytics</t>
  </si>
  <si>
    <t>Testing and Validation Services</t>
  </si>
  <si>
    <t>Desktop Computer</t>
  </si>
  <si>
    <t>Smart TV</t>
  </si>
  <si>
    <t>Enrollment System</t>
  </si>
  <si>
    <t>Transcript of Records Management System</t>
  </si>
  <si>
    <t>Document Management System</t>
  </si>
  <si>
    <t>Inventory Management System</t>
  </si>
  <si>
    <t xml:space="preserve">Finance System </t>
  </si>
  <si>
    <t>Library Management Information System</t>
  </si>
  <si>
    <t>Horizontal Cabling and Fiber Optic Cable (2 campuses)</t>
  </si>
  <si>
    <t>Collapsible Outdoor LED Wall</t>
  </si>
  <si>
    <t>Outdoor LED wall</t>
  </si>
  <si>
    <t xml:space="preserve">Digital Signage
</t>
  </si>
  <si>
    <t xml:space="preserve">1200 ampheres ACB with Dip Switch Setting Board
</t>
  </si>
  <si>
    <t xml:space="preserve">165KVA 400V 3PH 60Hz Silent Diesel
</t>
  </si>
  <si>
    <t>Web Application Fireawall</t>
  </si>
  <si>
    <t>Server Load Balancincer</t>
  </si>
  <si>
    <t>Firewall Licence</t>
  </si>
  <si>
    <t>UTP Wires</t>
  </si>
  <si>
    <t>RJ 45 Connectors</t>
  </si>
  <si>
    <t>Routers</t>
  </si>
  <si>
    <t>Network Switch</t>
  </si>
  <si>
    <t>Mobile Internet Enterprise</t>
  </si>
  <si>
    <t>Subscription Mobile Internet Enterprise</t>
  </si>
  <si>
    <t>INNOVATIVE LED WALL</t>
  </si>
  <si>
    <t>HCI Application Server with License Virtualization Software</t>
  </si>
  <si>
    <t>Hyper Converged Risk Disaster Site with License Virtualization Software</t>
  </si>
  <si>
    <t>Bandwidth Manager</t>
  </si>
  <si>
    <t>Installation</t>
  </si>
  <si>
    <t>Interactive Board</t>
  </si>
  <si>
    <t>WESTERN MINDANAO STATE UNIVERSITY
 Annual Procurement Plan for FY 2026</t>
  </si>
  <si>
    <t>ADOPTION OF DIGITAL LEARNING PLATFORM THROUGH ICT MODERNIZATION(OFFICE PRODUCTIVITY)</t>
  </si>
  <si>
    <t>ADOPTION OF DIGITAL LEARNING PLATFORM THROUGH ICT MODERNIZATION (INTERNAL ICT PROJECT: SMART CLASSROOMS (18) &amp; LABORATORY (10))</t>
  </si>
  <si>
    <t>ADOPTION OF DIGITAL LEARNING PLATFORM THROUGH ICT MODERNIZATION (E-LABORATORY)</t>
  </si>
  <si>
    <t>ADOPTION OF DIGITAL LEARNING PLATFORM THROUGH ICT MODERNIZATION (CAMPUS NETWORK AND SECURITY)</t>
  </si>
  <si>
    <t>ADOPTION OF DIGITAL LEARNING PLATFORM THROUGH ICT MODERNIZATION (VIRTUALIZED INFRASTRUCTURE)</t>
  </si>
  <si>
    <t>ADOPTION OF DIGITAL LEARNING PLATFORM THROUGH ICT MODERNIZATION (COMMAND CENTER)</t>
  </si>
  <si>
    <t>ADOPTION OF DIGITAL LEARNING PLATFORM THROUGH ICT MODERNIZATION (CAMPUS INFORMATION SYSTEM)</t>
  </si>
  <si>
    <t>ADOPTION OF DIGITAL LEARNING PLATFORM THROUGH ICT MODERNIZATION ( CAMPUS NETWORK CABLING /ICT INFRASTRUCTURE OUTLAY)</t>
  </si>
  <si>
    <t>ADOPTION OF DIGITAL LEARNING PLATFORM THROUGH ICT MODERNIZATION ( CAMPUS NETWORK CABLING /DIGITAL DISPLAY)</t>
  </si>
  <si>
    <t>ADOPTION OF DIGITAL LEARNING PLATFORM THROUGH ICT MODERNIZATION ( CAMPUS NETWORK CABLING /ELECTRICAL EQUIPMENT)</t>
  </si>
  <si>
    <t>ADOPTION OF DIGITAL LEARNING PLATFORM THROUGH ICT MODERNIZATION (WEB SECURITY  WITH AND LOAD BALANCING)</t>
  </si>
  <si>
    <t>ADOPTION OF DIGITAL LEARNING PLATFORM THROUGH ICT MODERNIZATION (MOBILE INTERNET USING SATELLITE   )</t>
  </si>
  <si>
    <t>ADOPTION OF DIGITAL LEARNING PLATFORM THROUGH ICT MODERNIZATION (ESTABLISHMENT OF A HYPERCONVERGED INFRASTRUCTURE  )</t>
  </si>
  <si>
    <t>ADOPTION OF DIGITAL LEARNING PLATFORM THROUGH ICT MODERNIZATION (SMART CLASSROOMS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</si>
</sst>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3" x14ac:knownFonts="1">
    <font>
      <sz val="11"/>
      <color rgb="FF000000"/>
      <name val="Arial"/>
      <scheme val="minor"/>
    </font>
    <font>
      <sz val="11"/>
      <color theme="1"/>
      <name val="Arial"/>
      <family val="2"/>
      <scheme val="minor"/>
    </font>
    <font>
      <b/>
      <sz val="14"/>
      <color rgb="FF000000"/>
      <name val="Arial"/>
      <family val="2"/>
    </font>
    <font>
      <sz val="11"/>
      <name val="Arial"/>
      <family val="2"/>
    </font>
    <font>
      <sz val="10"/>
      <color rgb="FF000000"/>
      <name val="Arial"/>
      <family val="2"/>
    </font>
    <font>
      <b/>
      <sz val="9"/>
      <color rgb="FF000000"/>
      <name val="Arial"/>
      <family val="2"/>
    </font>
    <font>
      <b/>
      <sz val="8"/>
      <color rgb="FF000000"/>
      <name val="Arial"/>
      <family val="2"/>
    </font>
    <font>
      <sz val="12"/>
      <color rgb="FF000000"/>
      <name val="Arial"/>
      <family val="2"/>
    </font>
    <font>
      <sz val="8"/>
      <color rgb="FF000000"/>
      <name val="Arial"/>
      <family val="2"/>
    </font>
    <font>
      <sz val="11"/>
      <color rgb="FF000000"/>
      <name val="Arial"/>
      <family val="2"/>
    </font>
    <font>
      <b/>
      <sz val="10"/>
      <color rgb="FF000000"/>
      <name val="Arial"/>
      <family val="2"/>
    </font>
    <font>
      <b/>
      <sz val="11"/>
      <color rgb="FF000000"/>
      <name val="Arial"/>
      <family val="2"/>
    </font>
    <font>
      <sz val="12"/>
      <color theme="1"/>
      <name val="Calibri"/>
      <family val="2"/>
    </font>
    <font>
      <sz val="12"/>
      <color rgb="FF000000"/>
      <name val="Calibri"/>
      <family val="2"/>
    </font>
    <font>
      <sz val="11"/>
      <color rgb="FF000000"/>
      <name val="Calibri"/>
      <family val="2"/>
    </font>
    <font>
      <sz val="10"/>
      <color theme="1"/>
      <name val="Arial"/>
      <family val="2"/>
    </font>
    <font>
      <sz val="11"/>
      <color rgb="FF000000"/>
      <name val="Arial"/>
      <scheme val="minor"/>
    </font>
    <font>
      <sz val="11"/>
      <color theme="1"/>
      <name val="Arial"/>
      <family val="2"/>
    </font>
    <font>
      <sz val="11"/>
      <color rgb="FF000000"/>
      <name val="Arial"/>
      <family val="2"/>
      <scheme val="minor"/>
    </font>
    <font>
      <sz val="10"/>
      <color rgb="FF000000"/>
      <name val="Arial"/>
      <family val="2"/>
      <scheme val="minor"/>
    </font>
    <font>
      <sz val="8"/>
      <name val="Arial"/>
      <family val="2"/>
    </font>
    <font>
      <sz val="8"/>
      <color theme="1"/>
      <name val="Arial"/>
      <family val="2"/>
    </font>
    <font>
      <sz val="8"/>
      <color rgb="FF000000"/>
      <name val="Arial"/>
      <family val="2"/>
      <scheme val="minor"/>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34">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double">
        <color rgb="FF000000"/>
      </bottom>
      <diagonal/>
    </border>
    <border>
      <left style="thin">
        <color rgb="FF000000"/>
      </left>
      <right style="thin">
        <color rgb="FF000000"/>
      </right>
      <top/>
      <bottom style="double">
        <color rgb="FF000000"/>
      </bottom>
      <diagonal/>
    </border>
    <border>
      <left/>
      <right style="thin">
        <color rgb="FF000000"/>
      </right>
      <top/>
      <bottom style="double">
        <color rgb="FF000000"/>
      </bottom>
      <diagonal/>
    </border>
    <border>
      <left style="thin">
        <color rgb="FF000000"/>
      </left>
      <right/>
      <top/>
      <bottom style="double">
        <color rgb="FF000000"/>
      </bottom>
      <diagonal/>
    </border>
    <border>
      <left/>
      <right/>
      <top/>
      <bottom style="double">
        <color rgb="FF000000"/>
      </bottom>
      <diagonal/>
    </border>
    <border>
      <left style="thin">
        <color rgb="FF000000"/>
      </left>
      <right style="medium">
        <color rgb="FF000000"/>
      </right>
      <top/>
      <bottom style="double">
        <color rgb="FF000000"/>
      </bottom>
      <diagonal/>
    </border>
    <border>
      <left style="thin">
        <color rgb="FF000000"/>
      </left>
      <right style="medium">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6" fillId="0" borderId="0" applyFont="0" applyFill="0" applyBorder="0" applyAlignment="0" applyProtection="0"/>
    <xf numFmtId="0" fontId="1" fillId="0" borderId="4"/>
  </cellStyleXfs>
  <cellXfs count="103">
    <xf numFmtId="0" fontId="0" fillId="0" borderId="0" xfId="0"/>
    <xf numFmtId="0" fontId="2" fillId="2" borderId="1" xfId="0" applyFont="1" applyFill="1" applyBorder="1"/>
    <xf numFmtId="0" fontId="2" fillId="2" borderId="1" xfId="0" applyFont="1" applyFill="1" applyBorder="1" applyAlignment="1">
      <alignment horizontal="left"/>
    </xf>
    <xf numFmtId="0" fontId="2" fillId="2" borderId="1" xfId="0" applyFont="1" applyFill="1" applyBorder="1" applyAlignment="1">
      <alignment horizontal="center"/>
    </xf>
    <xf numFmtId="0" fontId="6" fillId="2" borderId="16" xfId="0" applyFont="1" applyFill="1" applyBorder="1" applyAlignment="1">
      <alignment vertical="top" wrapText="1"/>
    </xf>
    <xf numFmtId="0" fontId="5" fillId="2" borderId="16" xfId="0" applyFont="1" applyFill="1" applyBorder="1" applyAlignment="1">
      <alignment horizontal="center" vertical="top" wrapText="1"/>
    </xf>
    <xf numFmtId="0" fontId="6" fillId="2" borderId="20" xfId="0" applyFont="1" applyFill="1" applyBorder="1" applyAlignment="1">
      <alignment horizontal="center" vertical="top" wrapText="1"/>
    </xf>
    <xf numFmtId="0" fontId="6" fillId="2" borderId="21" xfId="0" applyFont="1" applyFill="1" applyBorder="1" applyAlignment="1">
      <alignment horizontal="center" vertical="top" wrapText="1"/>
    </xf>
    <xf numFmtId="0" fontId="6" fillId="2" borderId="22" xfId="0" applyFont="1" applyFill="1" applyBorder="1" applyAlignment="1">
      <alignment horizontal="center" vertical="top" wrapText="1"/>
    </xf>
    <xf numFmtId="0" fontId="5" fillId="2" borderId="21" xfId="0" applyFont="1" applyFill="1" applyBorder="1" applyAlignment="1">
      <alignment horizontal="center" vertical="top" wrapText="1"/>
    </xf>
    <xf numFmtId="0" fontId="5" fillId="2" borderId="22" xfId="0" applyFont="1" applyFill="1" applyBorder="1" applyAlignment="1">
      <alignment horizontal="center" vertical="top" wrapText="1"/>
    </xf>
    <xf numFmtId="0" fontId="5" fillId="2" borderId="20" xfId="0" applyFont="1" applyFill="1" applyBorder="1" applyAlignment="1">
      <alignment horizontal="center" vertical="top" wrapText="1"/>
    </xf>
    <xf numFmtId="1" fontId="7" fillId="0" borderId="16" xfId="0" applyNumberFormat="1" applyFont="1" applyBorder="1" applyAlignment="1">
      <alignment horizontal="center" vertical="center" shrinkToFit="1"/>
    </xf>
    <xf numFmtId="0" fontId="8" fillId="2" borderId="16" xfId="0" applyFont="1" applyFill="1" applyBorder="1" applyAlignment="1">
      <alignment horizontal="left"/>
    </xf>
    <xf numFmtId="15" fontId="8" fillId="2" borderId="16" xfId="0" applyNumberFormat="1" applyFont="1" applyFill="1" applyBorder="1"/>
    <xf numFmtId="0" fontId="8" fillId="2" borderId="16" xfId="0" applyFont="1" applyFill="1" applyBorder="1"/>
    <xf numFmtId="0" fontId="8" fillId="2" borderId="16" xfId="0" applyFont="1" applyFill="1" applyBorder="1" applyAlignment="1">
      <alignment horizontal="center"/>
    </xf>
    <xf numFmtId="0" fontId="8" fillId="2" borderId="24" xfId="0" applyFont="1" applyFill="1" applyBorder="1"/>
    <xf numFmtId="0" fontId="8" fillId="2" borderId="1" xfId="0" applyFont="1" applyFill="1" applyBorder="1"/>
    <xf numFmtId="0" fontId="8" fillId="2" borderId="25" xfId="0" applyFont="1" applyFill="1" applyBorder="1"/>
    <xf numFmtId="0" fontId="8" fillId="2" borderId="26" xfId="0" applyFont="1" applyFill="1" applyBorder="1"/>
    <xf numFmtId="0" fontId="8" fillId="2" borderId="25" xfId="0" applyFont="1" applyFill="1" applyBorder="1" applyAlignment="1">
      <alignment horizontal="center"/>
    </xf>
    <xf numFmtId="0" fontId="8" fillId="2" borderId="26" xfId="0" applyFont="1" applyFill="1" applyBorder="1" applyAlignment="1">
      <alignment horizontal="center"/>
    </xf>
    <xf numFmtId="0" fontId="8" fillId="2" borderId="27" xfId="0" applyFont="1" applyFill="1" applyBorder="1"/>
    <xf numFmtId="0" fontId="5" fillId="2" borderId="16" xfId="0" applyFont="1" applyFill="1" applyBorder="1" applyAlignment="1">
      <alignment horizontal="center" vertical="center" wrapText="1"/>
    </xf>
    <xf numFmtId="0" fontId="4" fillId="2" borderId="16" xfId="0" applyFont="1" applyFill="1" applyBorder="1" applyAlignment="1">
      <alignment horizontal="center" vertical="center"/>
    </xf>
    <xf numFmtId="0" fontId="12" fillId="0" borderId="32" xfId="0" applyFont="1" applyBorder="1" applyAlignment="1">
      <alignment vertical="center"/>
    </xf>
    <xf numFmtId="0" fontId="4" fillId="0" borderId="0" xfId="0" applyFont="1"/>
    <xf numFmtId="0" fontId="13" fillId="0" borderId="32" xfId="0" applyFont="1" applyBorder="1"/>
    <xf numFmtId="0" fontId="13" fillId="0" borderId="32" xfId="0" applyFont="1" applyBorder="1" applyAlignment="1">
      <alignment vertical="center"/>
    </xf>
    <xf numFmtId="0" fontId="13" fillId="0" borderId="32" xfId="0" applyFont="1" applyBorder="1" applyAlignment="1">
      <alignment horizontal="left" vertical="center"/>
    </xf>
    <xf numFmtId="0" fontId="13" fillId="0" borderId="0" xfId="0" applyFont="1" applyAlignment="1">
      <alignment vertical="center"/>
    </xf>
    <xf numFmtId="0" fontId="13" fillId="0" borderId="0" xfId="0" applyFont="1"/>
    <xf numFmtId="0" fontId="12" fillId="0" borderId="0" xfId="0" applyFont="1" applyAlignment="1">
      <alignment vertical="center"/>
    </xf>
    <xf numFmtId="0" fontId="14" fillId="0" borderId="0" xfId="0" applyFont="1"/>
    <xf numFmtId="0" fontId="7" fillId="2" borderId="16" xfId="0" applyFont="1" applyFill="1" applyBorder="1" applyAlignment="1">
      <alignment horizontal="center"/>
    </xf>
    <xf numFmtId="0" fontId="4" fillId="3" borderId="33" xfId="0" applyFont="1" applyFill="1" applyBorder="1" applyAlignment="1">
      <alignment horizontal="center" vertical="center"/>
    </xf>
    <xf numFmtId="0" fontId="4" fillId="3" borderId="31" xfId="0" applyFont="1" applyFill="1" applyBorder="1" applyAlignment="1">
      <alignment horizontal="center" vertical="center"/>
    </xf>
    <xf numFmtId="0" fontId="9" fillId="3" borderId="30" xfId="0" applyFont="1" applyFill="1" applyBorder="1" applyAlignment="1">
      <alignment vertical="center" wrapText="1"/>
    </xf>
    <xf numFmtId="17" fontId="4" fillId="3" borderId="33" xfId="0" applyNumberFormat="1" applyFont="1" applyFill="1" applyBorder="1" applyAlignment="1">
      <alignment horizontal="center" vertical="center"/>
    </xf>
    <xf numFmtId="43" fontId="4" fillId="3" borderId="31" xfId="1" applyFont="1" applyFill="1" applyBorder="1" applyAlignment="1">
      <alignment horizontal="center" vertical="center"/>
    </xf>
    <xf numFmtId="43" fontId="4" fillId="3" borderId="31" xfId="1" applyFont="1" applyFill="1" applyBorder="1" applyAlignment="1">
      <alignment horizontal="center"/>
    </xf>
    <xf numFmtId="0" fontId="8" fillId="2" borderId="24" xfId="0" applyFont="1" applyFill="1" applyBorder="1" applyAlignment="1">
      <alignment wrapText="1"/>
    </xf>
    <xf numFmtId="0" fontId="4" fillId="3" borderId="33" xfId="0" applyFont="1" applyFill="1" applyBorder="1" applyAlignment="1">
      <alignment vertical="center" wrapText="1"/>
    </xf>
    <xf numFmtId="0" fontId="8" fillId="3" borderId="33" xfId="0" applyFont="1" applyFill="1" applyBorder="1" applyAlignment="1">
      <alignment vertical="center" wrapText="1"/>
    </xf>
    <xf numFmtId="43" fontId="4" fillId="0" borderId="31" xfId="1" applyFont="1" applyFill="1" applyBorder="1" applyAlignment="1">
      <alignment horizontal="center" vertical="center"/>
    </xf>
    <xf numFmtId="43" fontId="4" fillId="0" borderId="31" xfId="1" applyFont="1" applyFill="1" applyBorder="1" applyAlignment="1">
      <alignment horizontal="center"/>
    </xf>
    <xf numFmtId="43" fontId="4" fillId="3" borderId="33" xfId="1" applyFont="1" applyFill="1" applyBorder="1"/>
    <xf numFmtId="0" fontId="17" fillId="0" borderId="28" xfId="0" applyFont="1" applyBorder="1" applyAlignment="1">
      <alignment vertical="center" wrapText="1"/>
    </xf>
    <xf numFmtId="0" fontId="18" fillId="0" borderId="0" xfId="0" applyFont="1"/>
    <xf numFmtId="0" fontId="18" fillId="0" borderId="0" xfId="0" applyFont="1" applyAlignment="1">
      <alignment wrapText="1"/>
    </xf>
    <xf numFmtId="0" fontId="15" fillId="0" borderId="28" xfId="0" applyFont="1" applyBorder="1" applyAlignment="1">
      <alignment vertical="center" wrapText="1"/>
    </xf>
    <xf numFmtId="0" fontId="19" fillId="0" borderId="0" xfId="0" applyFont="1"/>
    <xf numFmtId="0" fontId="8" fillId="3" borderId="31" xfId="0" applyFont="1" applyFill="1" applyBorder="1" applyAlignment="1">
      <alignment horizontal="center" vertical="center"/>
    </xf>
    <xf numFmtId="0" fontId="8" fillId="3" borderId="30" xfId="0" applyFont="1" applyFill="1" applyBorder="1" applyAlignment="1">
      <alignment horizontal="center" vertical="center"/>
    </xf>
    <xf numFmtId="0" fontId="8" fillId="3" borderId="33" xfId="0" applyFont="1" applyFill="1" applyBorder="1" applyAlignment="1">
      <alignment horizontal="center" vertical="center"/>
    </xf>
    <xf numFmtId="0" fontId="21" fillId="0" borderId="16" xfId="0" applyFont="1" applyBorder="1" applyAlignment="1">
      <alignment horizontal="center" vertical="center" wrapText="1"/>
    </xf>
    <xf numFmtId="0" fontId="21" fillId="0" borderId="16" xfId="0" applyFont="1" applyBorder="1" applyAlignment="1">
      <alignment vertical="center" wrapText="1"/>
    </xf>
    <xf numFmtId="0" fontId="22" fillId="0" borderId="0" xfId="0" applyFont="1"/>
    <xf numFmtId="0" fontId="11" fillId="2" borderId="1" xfId="0" applyFont="1" applyFill="1" applyBorder="1" applyAlignment="1">
      <alignment wrapText="1"/>
    </xf>
    <xf numFmtId="0" fontId="9" fillId="3" borderId="33" xfId="0" applyFont="1" applyFill="1" applyBorder="1" applyAlignment="1">
      <alignment horizontal="left" vertical="center" wrapText="1"/>
    </xf>
    <xf numFmtId="0" fontId="1" fillId="0" borderId="33" xfId="2" applyBorder="1" applyAlignment="1">
      <alignment horizontal="center"/>
    </xf>
    <xf numFmtId="0" fontId="4" fillId="2" borderId="16" xfId="0" applyFont="1" applyFill="1" applyBorder="1" applyAlignment="1">
      <alignment horizontal="center"/>
    </xf>
    <xf numFmtId="0" fontId="4" fillId="2" borderId="16" xfId="0" applyFont="1" applyFill="1" applyBorder="1" applyAlignment="1">
      <alignment horizontal="left"/>
    </xf>
    <xf numFmtId="0" fontId="4" fillId="2" borderId="16" xfId="0" applyFont="1" applyFill="1" applyBorder="1"/>
    <xf numFmtId="0" fontId="4" fillId="2" borderId="24" xfId="0" applyFont="1" applyFill="1" applyBorder="1"/>
    <xf numFmtId="0" fontId="9" fillId="2" borderId="16" xfId="0" applyFont="1" applyFill="1" applyBorder="1" applyAlignment="1">
      <alignment horizontal="center"/>
    </xf>
    <xf numFmtId="0" fontId="9" fillId="2" borderId="24" xfId="0" applyFont="1" applyFill="1" applyBorder="1"/>
    <xf numFmtId="0" fontId="15" fillId="0" borderId="16" xfId="0" applyFont="1" applyBorder="1" applyAlignment="1">
      <alignment horizontal="center" vertical="center" wrapText="1"/>
    </xf>
    <xf numFmtId="0" fontId="10" fillId="2" borderId="1" xfId="0" applyFont="1" applyFill="1" applyBorder="1" applyAlignment="1">
      <alignment horizontal="center"/>
    </xf>
    <xf numFmtId="0" fontId="10" fillId="2" borderId="1" xfId="0" applyFont="1" applyFill="1" applyBorder="1" applyAlignment="1">
      <alignment horizontal="center" vertical="center"/>
    </xf>
    <xf numFmtId="43" fontId="4" fillId="2" borderId="16" xfId="0" applyNumberFormat="1" applyFont="1" applyFill="1" applyBorder="1" applyAlignment="1">
      <alignment horizontal="center" vertical="center"/>
    </xf>
    <xf numFmtId="43" fontId="4" fillId="3" borderId="33" xfId="1" applyFont="1" applyFill="1" applyBorder="1" applyAlignment="1">
      <alignment horizontal="right" vertical="center"/>
    </xf>
    <xf numFmtId="0" fontId="19" fillId="0" borderId="0" xfId="0" applyFont="1" applyAlignment="1">
      <alignment vertical="center"/>
    </xf>
    <xf numFmtId="43" fontId="4" fillId="0" borderId="29" xfId="1" applyFont="1" applyFill="1" applyBorder="1"/>
    <xf numFmtId="43" fontId="0" fillId="3" borderId="16" xfId="1" applyFont="1" applyFill="1" applyBorder="1"/>
    <xf numFmtId="43" fontId="4" fillId="3" borderId="29" xfId="1" applyFont="1" applyFill="1" applyBorder="1"/>
    <xf numFmtId="0" fontId="1" fillId="0" borderId="33" xfId="2" applyBorder="1" applyAlignment="1">
      <alignment horizontal="center" vertical="center"/>
    </xf>
    <xf numFmtId="0" fontId="4" fillId="3" borderId="16" xfId="0" applyFont="1" applyFill="1" applyBorder="1" applyAlignment="1">
      <alignment horizontal="center" vertical="center"/>
    </xf>
    <xf numFmtId="43" fontId="8" fillId="2" borderId="16" xfId="1" applyFont="1" applyFill="1" applyBorder="1" applyAlignment="1">
      <alignment horizontal="center"/>
    </xf>
    <xf numFmtId="0" fontId="5" fillId="2" borderId="6" xfId="0" applyFont="1" applyFill="1" applyBorder="1" applyAlignment="1">
      <alignment horizontal="center" vertical="top" wrapText="1"/>
    </xf>
    <xf numFmtId="0" fontId="3" fillId="0" borderId="15" xfId="0" applyFont="1" applyBorder="1"/>
    <xf numFmtId="0" fontId="5" fillId="2" borderId="10" xfId="0" applyFont="1" applyFill="1" applyBorder="1" applyAlignment="1">
      <alignment horizontal="center" vertical="top" wrapText="1"/>
    </xf>
    <xf numFmtId="0" fontId="3" fillId="0" borderId="17" xfId="0" applyFont="1" applyBorder="1"/>
    <xf numFmtId="0" fontId="5" fillId="2" borderId="5" xfId="0" applyFont="1" applyFill="1" applyBorder="1" applyAlignment="1">
      <alignment horizontal="center" vertical="top" wrapText="1"/>
    </xf>
    <xf numFmtId="0" fontId="3" fillId="0" borderId="18" xfId="0" applyFont="1" applyBorder="1"/>
    <xf numFmtId="0" fontId="5" fillId="2" borderId="11" xfId="0" applyFont="1" applyFill="1" applyBorder="1" applyAlignment="1">
      <alignment horizontal="center" vertical="top" wrapText="1"/>
    </xf>
    <xf numFmtId="0" fontId="3" fillId="0" borderId="12" xfId="0" applyFont="1" applyBorder="1"/>
    <xf numFmtId="0" fontId="3" fillId="0" borderId="13" xfId="0" applyFont="1" applyBorder="1"/>
    <xf numFmtId="0" fontId="3" fillId="0" borderId="23" xfId="0" applyFont="1" applyBorder="1"/>
    <xf numFmtId="0" fontId="2" fillId="2" borderId="2" xfId="0" applyFont="1" applyFill="1" applyBorder="1" applyAlignment="1">
      <alignment horizontal="left" wrapText="1"/>
    </xf>
    <xf numFmtId="0" fontId="3" fillId="0" borderId="3" xfId="0" applyFont="1" applyBorder="1"/>
    <xf numFmtId="0" fontId="4" fillId="2" borderId="2" xfId="0" applyFont="1" applyFill="1" applyBorder="1" applyAlignment="1">
      <alignment horizontal="left" vertical="top" wrapText="1"/>
    </xf>
    <xf numFmtId="0" fontId="3" fillId="0" borderId="4" xfId="0" applyFont="1" applyBorder="1"/>
    <xf numFmtId="0" fontId="3" fillId="0" borderId="19" xfId="0" applyFont="1" applyBorder="1"/>
    <xf numFmtId="0" fontId="5" fillId="2" borderId="7" xfId="0" applyFont="1" applyFill="1" applyBorder="1" applyAlignment="1">
      <alignment horizontal="center" vertical="top" wrapText="1"/>
    </xf>
    <xf numFmtId="0" fontId="3" fillId="0" borderId="8" xfId="0" applyFont="1" applyBorder="1"/>
    <xf numFmtId="0" fontId="3" fillId="0" borderId="9" xfId="0" applyFont="1" applyBorder="1"/>
    <xf numFmtId="0" fontId="3" fillId="0" borderId="14" xfId="0" applyFont="1" applyBorder="1"/>
    <xf numFmtId="0" fontId="11" fillId="2" borderId="6" xfId="0" applyFont="1" applyFill="1" applyBorder="1" applyAlignment="1">
      <alignment horizontal="center" vertical="top" wrapText="1"/>
    </xf>
    <xf numFmtId="0" fontId="3" fillId="0" borderId="15" xfId="0" applyFont="1" applyBorder="1" applyAlignment="1">
      <alignment wrapText="1"/>
    </xf>
    <xf numFmtId="0" fontId="6" fillId="2" borderId="6" xfId="0" applyFont="1" applyFill="1" applyBorder="1" applyAlignment="1">
      <alignment horizontal="left" vertical="top" wrapText="1"/>
    </xf>
    <xf numFmtId="0" fontId="20" fillId="0" borderId="15" xfId="0" applyFont="1" applyBorder="1"/>
  </cellXfs>
  <cellStyles count="3">
    <cellStyle name="Comma" xfId="1" builtinId="3"/>
    <cellStyle name="Normal" xfId="0" builtinId="0"/>
    <cellStyle name="Normal 3" xfId="2" xr:uid="{00000000-0005-0000-0000-000002000000}"/>
  </cellStyles>
  <dxfs count="48">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admin/Desktop/PPMP%20FY%202026/FOR%20APP%20FY%202026%20SEMI%20FINAL/HE/ESU%20PPMP%202026%20Consolidated.xlsx" TargetMode="External"/><Relationship Id="rId1" Type="http://schemas.openxmlformats.org/officeDocument/2006/relationships/externalLinkPath" Target="/Users/admin/Desktop/PPMP%20FY%202026/FOR%20APP%20FY%202026%20SEMI%20FINAL/HE/ESU%20PPMP%202026%20Consoli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PMP Template"/>
      <sheetName val="Pricelist"/>
      <sheetName val="Categories "/>
      <sheetName val="Capital Outlay and Wish List"/>
      <sheetName val="PRE"/>
      <sheetName val="Categories"/>
      <sheetName val="PRE (IGP)"/>
    </sheetNames>
    <sheetDataSet>
      <sheetData sheetId="0" refreshError="1">
        <row r="15">
          <cell r="F15">
            <v>14000</v>
          </cell>
        </row>
        <row r="16">
          <cell r="F16">
            <v>3504</v>
          </cell>
        </row>
        <row r="52">
          <cell r="F52">
            <v>32976</v>
          </cell>
        </row>
        <row r="53">
          <cell r="F53">
            <v>9768</v>
          </cell>
        </row>
        <row r="54">
          <cell r="F54">
            <v>6200</v>
          </cell>
        </row>
        <row r="55">
          <cell r="F55">
            <v>12768</v>
          </cell>
        </row>
        <row r="56">
          <cell r="F56">
            <v>9972</v>
          </cell>
        </row>
        <row r="58">
          <cell r="F58">
            <v>11856</v>
          </cell>
        </row>
        <row r="59">
          <cell r="F59">
            <v>2352</v>
          </cell>
        </row>
        <row r="60">
          <cell r="F60">
            <v>4800</v>
          </cell>
        </row>
        <row r="93">
          <cell r="F93">
            <v>36000</v>
          </cell>
        </row>
        <row r="99">
          <cell r="F99">
            <v>18000</v>
          </cell>
        </row>
        <row r="122">
          <cell r="F122">
            <v>32976</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363"/>
  <sheetViews>
    <sheetView tabSelected="1" topLeftCell="F237" zoomScaleNormal="100" workbookViewId="0">
      <selection activeCell="N242" sqref="N242"/>
    </sheetView>
  </sheetViews>
  <sheetFormatPr defaultColWidth="12.59765625" defaultRowHeight="15" customHeight="1" x14ac:dyDescent="0.25"/>
  <cols>
    <col min="1" max="1" width="20.3984375" customWidth="1"/>
    <col min="2" max="2" width="34.8984375" style="50" customWidth="1"/>
    <col min="3" max="3" width="20.3984375" customWidth="1"/>
    <col min="4" max="4" width="16.3984375" style="58" customWidth="1"/>
    <col min="5" max="5" width="51" customWidth="1"/>
    <col min="6" max="6" width="10.8984375" customWidth="1"/>
    <col min="7" max="7" width="10" customWidth="1"/>
    <col min="8" max="9" width="9.69921875" customWidth="1"/>
    <col min="10" max="10" width="34" customWidth="1"/>
    <col min="11" max="11" width="14.3984375" style="52" bestFit="1" customWidth="1"/>
    <col min="12" max="12" width="14.3984375" style="73" bestFit="1" customWidth="1"/>
    <col min="13" max="13" width="11.19921875" bestFit="1" customWidth="1"/>
    <col min="14" max="14" width="36.3984375" customWidth="1"/>
    <col min="15" max="43" width="8.3984375" hidden="1" customWidth="1"/>
  </cols>
  <sheetData>
    <row r="1" spans="1:43" ht="36.75" customHeight="1" x14ac:dyDescent="0.3">
      <c r="A1" s="1"/>
      <c r="B1" s="59"/>
      <c r="C1" s="2"/>
      <c r="D1" s="90" t="s">
        <v>457</v>
      </c>
      <c r="E1" s="91"/>
      <c r="F1" s="1"/>
      <c r="G1" s="1"/>
      <c r="H1" s="1"/>
      <c r="I1" s="1"/>
      <c r="J1" s="1"/>
      <c r="K1" s="69"/>
      <c r="L1" s="70"/>
      <c r="M1" s="3"/>
      <c r="N1" s="1"/>
      <c r="O1" s="2" t="s">
        <v>0</v>
      </c>
      <c r="P1" s="1"/>
      <c r="Q1" s="1"/>
      <c r="R1" s="1"/>
      <c r="S1" s="1"/>
      <c r="T1" s="1"/>
      <c r="U1" s="1"/>
      <c r="V1" s="1"/>
      <c r="W1" s="1"/>
      <c r="X1" s="1"/>
      <c r="Y1" s="1"/>
      <c r="Z1" s="1"/>
      <c r="AA1" s="1"/>
      <c r="AB1" s="1"/>
      <c r="AC1" s="1"/>
      <c r="AD1" s="3"/>
      <c r="AE1" s="3"/>
      <c r="AF1" s="3"/>
      <c r="AG1" s="3"/>
      <c r="AH1" s="1"/>
      <c r="AI1" s="1"/>
      <c r="AJ1" s="1"/>
      <c r="AK1" s="1"/>
      <c r="AL1" s="1"/>
      <c r="AM1" s="1"/>
      <c r="AN1" s="1"/>
      <c r="AO1" s="1"/>
      <c r="AP1" s="1"/>
      <c r="AQ1" s="1"/>
    </row>
    <row r="2" spans="1:43" ht="135" customHeight="1" x14ac:dyDescent="0.25">
      <c r="A2" s="92" t="s">
        <v>1</v>
      </c>
      <c r="B2" s="93"/>
      <c r="C2" s="93"/>
      <c r="D2" s="93"/>
      <c r="E2" s="93"/>
      <c r="F2" s="93"/>
      <c r="G2" s="93"/>
      <c r="H2" s="93"/>
      <c r="I2" s="93"/>
      <c r="J2" s="93"/>
      <c r="K2" s="93"/>
      <c r="L2" s="93"/>
      <c r="M2" s="93"/>
      <c r="N2" s="93"/>
      <c r="O2" s="93"/>
      <c r="P2" s="93"/>
      <c r="Q2" s="93"/>
      <c r="R2" s="93"/>
      <c r="S2" s="93"/>
      <c r="T2" s="93"/>
      <c r="U2" s="93"/>
      <c r="V2" s="93"/>
      <c r="W2" s="93"/>
      <c r="X2" s="93"/>
      <c r="Y2" s="93"/>
      <c r="Z2" s="93"/>
      <c r="AA2" s="93"/>
      <c r="AB2" s="93"/>
      <c r="AC2" s="93"/>
      <c r="AD2" s="93"/>
      <c r="AE2" s="93"/>
      <c r="AF2" s="93"/>
      <c r="AG2" s="93"/>
      <c r="AH2" s="93"/>
      <c r="AI2" s="93"/>
      <c r="AJ2" s="93"/>
      <c r="AK2" s="93"/>
      <c r="AL2" s="93"/>
      <c r="AM2" s="93"/>
      <c r="AN2" s="93"/>
      <c r="AO2" s="93"/>
      <c r="AP2" s="93"/>
      <c r="AQ2" s="93"/>
    </row>
    <row r="3" spans="1:43" ht="18" customHeight="1" x14ac:dyDescent="0.25">
      <c r="A3" s="84" t="s">
        <v>2</v>
      </c>
      <c r="B3" s="99" t="s">
        <v>3</v>
      </c>
      <c r="C3" s="80" t="s">
        <v>4</v>
      </c>
      <c r="D3" s="101" t="s">
        <v>5</v>
      </c>
      <c r="E3" s="80" t="s">
        <v>6</v>
      </c>
      <c r="F3" s="95" t="s">
        <v>7</v>
      </c>
      <c r="G3" s="96"/>
      <c r="H3" s="96"/>
      <c r="I3" s="97"/>
      <c r="J3" s="80" t="s">
        <v>8</v>
      </c>
      <c r="K3" s="95" t="s">
        <v>9</v>
      </c>
      <c r="L3" s="96"/>
      <c r="M3" s="97"/>
      <c r="N3" s="82" t="s">
        <v>10</v>
      </c>
      <c r="O3" s="84" t="s">
        <v>11</v>
      </c>
      <c r="P3" s="80" t="s">
        <v>6</v>
      </c>
      <c r="Q3" s="86" t="s">
        <v>7</v>
      </c>
      <c r="R3" s="87"/>
      <c r="S3" s="87"/>
      <c r="T3" s="87"/>
      <c r="U3" s="87"/>
      <c r="V3" s="87"/>
      <c r="W3" s="87"/>
      <c r="X3" s="87"/>
      <c r="Y3" s="87"/>
      <c r="Z3" s="87"/>
      <c r="AA3" s="87"/>
      <c r="AB3" s="88"/>
      <c r="AC3" s="80" t="s">
        <v>8</v>
      </c>
      <c r="AD3" s="86" t="s">
        <v>12</v>
      </c>
      <c r="AE3" s="87"/>
      <c r="AF3" s="88"/>
      <c r="AG3" s="80" t="s">
        <v>13</v>
      </c>
      <c r="AH3" s="86" t="s">
        <v>14</v>
      </c>
      <c r="AI3" s="87"/>
      <c r="AJ3" s="87"/>
      <c r="AK3" s="87"/>
      <c r="AL3" s="87"/>
      <c r="AM3" s="87"/>
      <c r="AN3" s="87"/>
      <c r="AO3" s="87"/>
      <c r="AP3" s="88"/>
      <c r="AQ3" s="82" t="s">
        <v>15</v>
      </c>
    </row>
    <row r="4" spans="1:43" ht="36.75" customHeight="1" x14ac:dyDescent="0.25">
      <c r="A4" s="98"/>
      <c r="B4" s="100"/>
      <c r="C4" s="81"/>
      <c r="D4" s="102"/>
      <c r="E4" s="81"/>
      <c r="F4" s="4" t="s">
        <v>16</v>
      </c>
      <c r="G4" s="4" t="s">
        <v>17</v>
      </c>
      <c r="H4" s="4" t="s">
        <v>18</v>
      </c>
      <c r="I4" s="4" t="s">
        <v>19</v>
      </c>
      <c r="J4" s="81"/>
      <c r="K4" s="5" t="s">
        <v>20</v>
      </c>
      <c r="L4" s="24" t="s">
        <v>21</v>
      </c>
      <c r="M4" s="5" t="s">
        <v>22</v>
      </c>
      <c r="N4" s="83"/>
      <c r="O4" s="85"/>
      <c r="P4" s="94"/>
      <c r="Q4" s="6" t="s">
        <v>23</v>
      </c>
      <c r="R4" s="7" t="s">
        <v>24</v>
      </c>
      <c r="S4" s="8" t="s">
        <v>25</v>
      </c>
      <c r="T4" s="8" t="s">
        <v>26</v>
      </c>
      <c r="U4" s="8" t="s">
        <v>27</v>
      </c>
      <c r="V4" s="8" t="s">
        <v>28</v>
      </c>
      <c r="W4" s="8" t="s">
        <v>29</v>
      </c>
      <c r="X4" s="8" t="s">
        <v>30</v>
      </c>
      <c r="Y4" s="8" t="s">
        <v>19</v>
      </c>
      <c r="Z4" s="8" t="s">
        <v>31</v>
      </c>
      <c r="AA4" s="8" t="s">
        <v>32</v>
      </c>
      <c r="AB4" s="8" t="s">
        <v>33</v>
      </c>
      <c r="AC4" s="94"/>
      <c r="AD4" s="9" t="s">
        <v>20</v>
      </c>
      <c r="AE4" s="10" t="s">
        <v>21</v>
      </c>
      <c r="AF4" s="11" t="s">
        <v>22</v>
      </c>
      <c r="AG4" s="94"/>
      <c r="AH4" s="7" t="s">
        <v>34</v>
      </c>
      <c r="AI4" s="8" t="s">
        <v>25</v>
      </c>
      <c r="AJ4" s="8" t="s">
        <v>26</v>
      </c>
      <c r="AK4" s="8" t="s">
        <v>27</v>
      </c>
      <c r="AL4" s="8" t="s">
        <v>28</v>
      </c>
      <c r="AM4" s="8" t="s">
        <v>29</v>
      </c>
      <c r="AN4" s="8" t="s">
        <v>30</v>
      </c>
      <c r="AO4" s="8" t="s">
        <v>19</v>
      </c>
      <c r="AP4" s="8" t="s">
        <v>32</v>
      </c>
      <c r="AQ4" s="89"/>
    </row>
    <row r="5" spans="1:43" ht="36.75" customHeight="1" x14ac:dyDescent="0.25">
      <c r="A5" s="36" t="str">
        <f>C5</f>
        <v>5020399000</v>
      </c>
      <c r="B5" s="38" t="s">
        <v>96</v>
      </c>
      <c r="C5" s="61" t="s">
        <v>84</v>
      </c>
      <c r="D5" s="53" t="s">
        <v>95</v>
      </c>
      <c r="E5" s="13" t="s">
        <v>70</v>
      </c>
      <c r="F5" s="39">
        <v>46023</v>
      </c>
      <c r="G5" s="39"/>
      <c r="H5" s="14"/>
      <c r="I5" s="39">
        <v>46357</v>
      </c>
      <c r="J5" s="15" t="s">
        <v>36</v>
      </c>
      <c r="K5" s="71">
        <f>L5+M5</f>
        <v>6000</v>
      </c>
      <c r="L5" s="40">
        <v>6000</v>
      </c>
      <c r="M5" s="16"/>
      <c r="N5" s="42" t="s">
        <v>97</v>
      </c>
      <c r="O5" s="18"/>
      <c r="P5" s="19"/>
      <c r="Q5" s="19"/>
      <c r="R5" s="19"/>
      <c r="S5" s="19"/>
      <c r="T5" s="19"/>
      <c r="U5" s="19"/>
      <c r="V5" s="19"/>
      <c r="W5" s="19"/>
      <c r="X5" s="19"/>
      <c r="Y5" s="19"/>
      <c r="Z5" s="19"/>
      <c r="AA5" s="19"/>
      <c r="AB5" s="19"/>
      <c r="AC5" s="20"/>
      <c r="AD5" s="21"/>
      <c r="AE5" s="21"/>
      <c r="AF5" s="22"/>
      <c r="AG5" s="21"/>
      <c r="AH5" s="19"/>
      <c r="AI5" s="19"/>
      <c r="AJ5" s="19"/>
      <c r="AK5" s="19"/>
      <c r="AL5" s="19"/>
      <c r="AM5" s="19"/>
      <c r="AN5" s="19"/>
      <c r="AO5" s="19"/>
      <c r="AP5" s="20"/>
      <c r="AQ5" s="23"/>
    </row>
    <row r="6" spans="1:43" ht="36.75" customHeight="1" x14ac:dyDescent="0.25">
      <c r="A6" s="36" t="str">
        <f>C6</f>
        <v>5020399000</v>
      </c>
      <c r="B6" s="38" t="s">
        <v>98</v>
      </c>
      <c r="C6" s="61" t="s">
        <v>84</v>
      </c>
      <c r="D6" s="53" t="s">
        <v>95</v>
      </c>
      <c r="E6" s="13" t="s">
        <v>35</v>
      </c>
      <c r="F6" s="39">
        <v>46023</v>
      </c>
      <c r="G6" s="39"/>
      <c r="H6" s="14"/>
      <c r="I6" s="39">
        <v>46357</v>
      </c>
      <c r="J6" s="15" t="s">
        <v>36</v>
      </c>
      <c r="K6" s="71">
        <f t="shared" ref="K6:K53" si="0">L6+M6</f>
        <v>463898</v>
      </c>
      <c r="L6" s="40">
        <v>463898</v>
      </c>
      <c r="M6" s="16"/>
      <c r="N6" s="42" t="s">
        <v>97</v>
      </c>
      <c r="O6" s="18"/>
      <c r="P6" s="19"/>
      <c r="Q6" s="19"/>
      <c r="R6" s="19"/>
      <c r="S6" s="19"/>
      <c r="T6" s="19"/>
      <c r="U6" s="19"/>
      <c r="V6" s="19"/>
      <c r="W6" s="19"/>
      <c r="X6" s="19"/>
      <c r="Y6" s="19"/>
      <c r="Z6" s="19"/>
      <c r="AA6" s="19"/>
      <c r="AB6" s="19"/>
      <c r="AC6" s="20"/>
      <c r="AD6" s="21"/>
      <c r="AE6" s="21"/>
      <c r="AF6" s="22"/>
      <c r="AG6" s="21"/>
      <c r="AH6" s="19"/>
      <c r="AI6" s="19"/>
      <c r="AJ6" s="19"/>
      <c r="AK6" s="19"/>
      <c r="AL6" s="19"/>
      <c r="AM6" s="19"/>
      <c r="AN6" s="19"/>
      <c r="AO6" s="19"/>
      <c r="AP6" s="20"/>
      <c r="AQ6" s="23"/>
    </row>
    <row r="7" spans="1:43" ht="36.75" customHeight="1" x14ac:dyDescent="0.25">
      <c r="A7" s="36" t="str">
        <f t="shared" ref="A7:A70" si="1">C7</f>
        <v>5020399000</v>
      </c>
      <c r="B7" s="38" t="s">
        <v>99</v>
      </c>
      <c r="C7" s="61" t="s">
        <v>84</v>
      </c>
      <c r="D7" s="53" t="s">
        <v>95</v>
      </c>
      <c r="E7" s="13" t="s">
        <v>70</v>
      </c>
      <c r="F7" s="39">
        <v>46023</v>
      </c>
      <c r="G7" s="39"/>
      <c r="H7" s="14"/>
      <c r="I7" s="39">
        <v>46357</v>
      </c>
      <c r="J7" s="15" t="s">
        <v>36</v>
      </c>
      <c r="K7" s="71">
        <f t="shared" si="0"/>
        <v>30000</v>
      </c>
      <c r="L7" s="40">
        <v>30000</v>
      </c>
      <c r="M7" s="16"/>
      <c r="N7" s="42" t="s">
        <v>97</v>
      </c>
      <c r="O7" s="18"/>
      <c r="P7" s="19"/>
      <c r="Q7" s="19"/>
      <c r="R7" s="19"/>
      <c r="S7" s="19"/>
      <c r="T7" s="19"/>
      <c r="U7" s="19"/>
      <c r="V7" s="19"/>
      <c r="W7" s="19"/>
      <c r="X7" s="19"/>
      <c r="Y7" s="19"/>
      <c r="Z7" s="19"/>
      <c r="AA7" s="19"/>
      <c r="AB7" s="19"/>
      <c r="AC7" s="20"/>
      <c r="AD7" s="21"/>
      <c r="AE7" s="21"/>
      <c r="AF7" s="22"/>
      <c r="AG7" s="21"/>
      <c r="AH7" s="19"/>
      <c r="AI7" s="19"/>
      <c r="AJ7" s="19"/>
      <c r="AK7" s="19"/>
      <c r="AL7" s="19"/>
      <c r="AM7" s="19"/>
      <c r="AN7" s="19"/>
      <c r="AO7" s="19"/>
      <c r="AP7" s="20"/>
      <c r="AQ7" s="23"/>
    </row>
    <row r="8" spans="1:43" ht="36.75" customHeight="1" x14ac:dyDescent="0.25">
      <c r="A8" s="36" t="str">
        <f t="shared" si="1"/>
        <v>5020399000</v>
      </c>
      <c r="B8" s="38" t="s">
        <v>100</v>
      </c>
      <c r="C8" s="61" t="s">
        <v>84</v>
      </c>
      <c r="D8" s="53" t="s">
        <v>95</v>
      </c>
      <c r="E8" s="13" t="s">
        <v>35</v>
      </c>
      <c r="F8" s="39">
        <v>46023</v>
      </c>
      <c r="G8" s="39"/>
      <c r="H8" s="14"/>
      <c r="I8" s="39">
        <v>46357</v>
      </c>
      <c r="J8" s="15" t="s">
        <v>36</v>
      </c>
      <c r="K8" s="71">
        <f t="shared" si="0"/>
        <v>6700</v>
      </c>
      <c r="L8" s="40">
        <v>6700</v>
      </c>
      <c r="M8" s="16"/>
      <c r="N8" s="42" t="s">
        <v>97</v>
      </c>
      <c r="O8" s="18"/>
      <c r="P8" s="19"/>
      <c r="Q8" s="19"/>
      <c r="R8" s="19"/>
      <c r="S8" s="19"/>
      <c r="T8" s="19"/>
      <c r="U8" s="19"/>
      <c r="V8" s="19"/>
      <c r="W8" s="19"/>
      <c r="X8" s="19"/>
      <c r="Y8" s="19"/>
      <c r="Z8" s="19"/>
      <c r="AA8" s="19"/>
      <c r="AB8" s="19"/>
      <c r="AC8" s="20"/>
      <c r="AD8" s="21"/>
      <c r="AE8" s="21"/>
      <c r="AF8" s="22"/>
      <c r="AG8" s="21"/>
      <c r="AH8" s="19"/>
      <c r="AI8" s="19"/>
      <c r="AJ8" s="19"/>
      <c r="AK8" s="19"/>
      <c r="AL8" s="19"/>
      <c r="AM8" s="19"/>
      <c r="AN8" s="19"/>
      <c r="AO8" s="19"/>
      <c r="AP8" s="20"/>
      <c r="AQ8" s="23"/>
    </row>
    <row r="9" spans="1:43" ht="36.75" customHeight="1" x14ac:dyDescent="0.25">
      <c r="A9" s="36" t="str">
        <f t="shared" si="1"/>
        <v>5020301000</v>
      </c>
      <c r="B9" s="38" t="s">
        <v>101</v>
      </c>
      <c r="C9" s="61" t="s">
        <v>74</v>
      </c>
      <c r="D9" s="53" t="s">
        <v>95</v>
      </c>
      <c r="E9" s="13" t="s">
        <v>35</v>
      </c>
      <c r="F9" s="39">
        <v>46023</v>
      </c>
      <c r="G9" s="39"/>
      <c r="H9" s="14"/>
      <c r="I9" s="39">
        <v>46357</v>
      </c>
      <c r="J9" s="15" t="s">
        <v>36</v>
      </c>
      <c r="K9" s="71">
        <f t="shared" si="0"/>
        <v>2776955</v>
      </c>
      <c r="L9" s="40">
        <v>2776955</v>
      </c>
      <c r="M9" s="16"/>
      <c r="N9" s="42" t="s">
        <v>97</v>
      </c>
      <c r="O9" s="18"/>
      <c r="P9" s="19"/>
      <c r="Q9" s="19"/>
      <c r="R9" s="19"/>
      <c r="S9" s="19"/>
      <c r="T9" s="19"/>
      <c r="U9" s="19"/>
      <c r="V9" s="19"/>
      <c r="W9" s="19"/>
      <c r="X9" s="19"/>
      <c r="Y9" s="19"/>
      <c r="Z9" s="19"/>
      <c r="AA9" s="19"/>
      <c r="AB9" s="19"/>
      <c r="AC9" s="20"/>
      <c r="AD9" s="21"/>
      <c r="AE9" s="21"/>
      <c r="AF9" s="22"/>
      <c r="AG9" s="21"/>
      <c r="AH9" s="19"/>
      <c r="AI9" s="19"/>
      <c r="AJ9" s="19"/>
      <c r="AK9" s="19"/>
      <c r="AL9" s="19"/>
      <c r="AM9" s="19"/>
      <c r="AN9" s="19"/>
      <c r="AO9" s="19"/>
      <c r="AP9" s="20"/>
      <c r="AQ9" s="23"/>
    </row>
    <row r="10" spans="1:43" ht="36.75" customHeight="1" x14ac:dyDescent="0.25">
      <c r="A10" s="36" t="str">
        <f t="shared" si="1"/>
        <v>5020399000</v>
      </c>
      <c r="B10" s="38" t="s">
        <v>103</v>
      </c>
      <c r="C10" s="61" t="s">
        <v>84</v>
      </c>
      <c r="D10" s="54" t="s">
        <v>102</v>
      </c>
      <c r="E10" s="13" t="s">
        <v>35</v>
      </c>
      <c r="F10" s="39">
        <v>46023</v>
      </c>
      <c r="G10" s="39"/>
      <c r="H10" s="14"/>
      <c r="I10" s="39">
        <v>46357</v>
      </c>
      <c r="J10" s="15" t="s">
        <v>36</v>
      </c>
      <c r="K10" s="71">
        <f t="shared" si="0"/>
        <v>30817.599999999999</v>
      </c>
      <c r="L10" s="40">
        <v>30817.599999999999</v>
      </c>
      <c r="M10" s="16"/>
      <c r="N10" s="42" t="s">
        <v>97</v>
      </c>
      <c r="O10" s="18"/>
      <c r="P10" s="19"/>
      <c r="Q10" s="19"/>
      <c r="R10" s="19"/>
      <c r="S10" s="19"/>
      <c r="T10" s="19"/>
      <c r="U10" s="19"/>
      <c r="V10" s="19"/>
      <c r="W10" s="19"/>
      <c r="X10" s="19"/>
      <c r="Y10" s="19"/>
      <c r="Z10" s="19"/>
      <c r="AA10" s="19"/>
      <c r="AB10" s="19"/>
      <c r="AC10" s="20"/>
      <c r="AD10" s="21"/>
      <c r="AE10" s="21"/>
      <c r="AF10" s="22"/>
      <c r="AG10" s="21"/>
      <c r="AH10" s="19"/>
      <c r="AI10" s="19"/>
      <c r="AJ10" s="19"/>
      <c r="AK10" s="19"/>
      <c r="AL10" s="19"/>
      <c r="AM10" s="19"/>
      <c r="AN10" s="19"/>
      <c r="AO10" s="19"/>
      <c r="AP10" s="20"/>
      <c r="AQ10" s="23"/>
    </row>
    <row r="11" spans="1:43" ht="36.75" customHeight="1" x14ac:dyDescent="0.25">
      <c r="A11" s="36" t="str">
        <f t="shared" si="1"/>
        <v>5020399000</v>
      </c>
      <c r="B11" s="38" t="s">
        <v>105</v>
      </c>
      <c r="C11" s="61" t="s">
        <v>84</v>
      </c>
      <c r="D11" s="54" t="s">
        <v>104</v>
      </c>
      <c r="E11" s="13" t="s">
        <v>70</v>
      </c>
      <c r="F11" s="39">
        <v>46023</v>
      </c>
      <c r="G11" s="39"/>
      <c r="H11" s="14"/>
      <c r="I11" s="39">
        <v>46357</v>
      </c>
      <c r="J11" s="15" t="s">
        <v>36</v>
      </c>
      <c r="K11" s="71">
        <f t="shared" si="0"/>
        <v>39072</v>
      </c>
      <c r="L11" s="40">
        <v>39072</v>
      </c>
      <c r="M11" s="16"/>
      <c r="N11" s="42" t="s">
        <v>97</v>
      </c>
      <c r="O11" s="18"/>
      <c r="P11" s="19"/>
      <c r="Q11" s="19"/>
      <c r="R11" s="19"/>
      <c r="S11" s="19"/>
      <c r="T11" s="19"/>
      <c r="U11" s="19"/>
      <c r="V11" s="19"/>
      <c r="W11" s="19"/>
      <c r="X11" s="19"/>
      <c r="Y11" s="19"/>
      <c r="Z11" s="19"/>
      <c r="AA11" s="19"/>
      <c r="AB11" s="19"/>
      <c r="AC11" s="20"/>
      <c r="AD11" s="21"/>
      <c r="AE11" s="21"/>
      <c r="AF11" s="22"/>
      <c r="AG11" s="21"/>
      <c r="AH11" s="19"/>
      <c r="AI11" s="19"/>
      <c r="AJ11" s="19"/>
      <c r="AK11" s="19"/>
      <c r="AL11" s="19"/>
      <c r="AM11" s="19"/>
      <c r="AN11" s="19"/>
      <c r="AO11" s="19"/>
      <c r="AP11" s="20"/>
      <c r="AQ11" s="23"/>
    </row>
    <row r="12" spans="1:43" ht="36.75" customHeight="1" x14ac:dyDescent="0.25">
      <c r="A12" s="36" t="str">
        <f t="shared" si="1"/>
        <v>5029907000</v>
      </c>
      <c r="B12" s="38" t="s">
        <v>106</v>
      </c>
      <c r="C12" s="61" t="s">
        <v>92</v>
      </c>
      <c r="D12" s="54" t="s">
        <v>104</v>
      </c>
      <c r="E12" s="13" t="s">
        <v>45</v>
      </c>
      <c r="F12" s="39">
        <v>46023</v>
      </c>
      <c r="G12" s="39"/>
      <c r="H12" s="14"/>
      <c r="I12" s="39">
        <v>46357</v>
      </c>
      <c r="J12" s="15" t="s">
        <v>36</v>
      </c>
      <c r="K12" s="71">
        <f t="shared" si="0"/>
        <v>100000</v>
      </c>
      <c r="L12" s="40">
        <v>100000</v>
      </c>
      <c r="M12" s="16"/>
      <c r="N12" s="42" t="s">
        <v>97</v>
      </c>
      <c r="O12" s="18"/>
      <c r="P12" s="19"/>
      <c r="Q12" s="19"/>
      <c r="R12" s="19"/>
      <c r="S12" s="19"/>
      <c r="T12" s="19"/>
      <c r="U12" s="19"/>
      <c r="V12" s="19"/>
      <c r="W12" s="19"/>
      <c r="X12" s="19"/>
      <c r="Y12" s="19"/>
      <c r="Z12" s="19"/>
      <c r="AA12" s="19"/>
      <c r="AB12" s="19"/>
      <c r="AC12" s="20"/>
      <c r="AD12" s="21"/>
      <c r="AE12" s="21"/>
      <c r="AF12" s="22"/>
      <c r="AG12" s="21"/>
      <c r="AH12" s="19"/>
      <c r="AI12" s="19"/>
      <c r="AJ12" s="19"/>
      <c r="AK12" s="19"/>
      <c r="AL12" s="19"/>
      <c r="AM12" s="19"/>
      <c r="AN12" s="19"/>
      <c r="AO12" s="19"/>
      <c r="AP12" s="20"/>
      <c r="AQ12" s="23"/>
    </row>
    <row r="13" spans="1:43" ht="31.2" x14ac:dyDescent="0.25">
      <c r="A13" s="36" t="str">
        <f t="shared" si="1"/>
        <v>5020399000</v>
      </c>
      <c r="B13" s="38" t="s">
        <v>107</v>
      </c>
      <c r="C13" s="61" t="s">
        <v>84</v>
      </c>
      <c r="D13" s="54" t="s">
        <v>104</v>
      </c>
      <c r="E13" s="13" t="s">
        <v>35</v>
      </c>
      <c r="F13" s="39">
        <v>46023</v>
      </c>
      <c r="G13" s="39"/>
      <c r="H13" s="14"/>
      <c r="I13" s="39">
        <v>46357</v>
      </c>
      <c r="J13" s="15" t="s">
        <v>36</v>
      </c>
      <c r="K13" s="71">
        <f t="shared" si="0"/>
        <v>163445.6</v>
      </c>
      <c r="L13" s="40">
        <v>163445.6</v>
      </c>
      <c r="M13" s="16"/>
      <c r="N13" s="42" t="s">
        <v>97</v>
      </c>
      <c r="O13" s="18"/>
      <c r="P13" s="19"/>
      <c r="Q13" s="19"/>
      <c r="R13" s="19"/>
      <c r="S13" s="19"/>
      <c r="T13" s="19"/>
      <c r="U13" s="19"/>
      <c r="V13" s="19"/>
      <c r="W13" s="19"/>
      <c r="X13" s="19"/>
      <c r="Y13" s="19"/>
      <c r="Z13" s="19"/>
      <c r="AA13" s="19"/>
      <c r="AB13" s="19"/>
      <c r="AC13" s="20"/>
      <c r="AD13" s="21"/>
      <c r="AE13" s="21"/>
      <c r="AF13" s="22"/>
      <c r="AG13" s="21"/>
      <c r="AH13" s="19"/>
      <c r="AI13" s="19"/>
      <c r="AJ13" s="19"/>
      <c r="AK13" s="19"/>
      <c r="AL13" s="19"/>
      <c r="AM13" s="19"/>
      <c r="AN13" s="19"/>
      <c r="AO13" s="19"/>
      <c r="AP13" s="20"/>
      <c r="AQ13" s="23"/>
    </row>
    <row r="14" spans="1:43" ht="31.2" x14ac:dyDescent="0.25">
      <c r="A14" s="36" t="str">
        <f t="shared" si="1"/>
        <v>5020399000</v>
      </c>
      <c r="B14" s="38" t="s">
        <v>108</v>
      </c>
      <c r="C14" s="61" t="s">
        <v>84</v>
      </c>
      <c r="D14" s="54" t="s">
        <v>156</v>
      </c>
      <c r="E14" s="13" t="s">
        <v>35</v>
      </c>
      <c r="F14" s="39">
        <v>46023</v>
      </c>
      <c r="G14" s="39"/>
      <c r="H14" s="14"/>
      <c r="I14" s="39">
        <v>46357</v>
      </c>
      <c r="J14" s="15" t="s">
        <v>36</v>
      </c>
      <c r="K14" s="71">
        <f t="shared" si="0"/>
        <v>13400</v>
      </c>
      <c r="L14" s="40">
        <v>13400</v>
      </c>
      <c r="M14" s="16"/>
      <c r="N14" s="42" t="s">
        <v>97</v>
      </c>
      <c r="O14" s="18"/>
      <c r="P14" s="19"/>
      <c r="Q14" s="19"/>
      <c r="R14" s="19"/>
      <c r="S14" s="19"/>
      <c r="T14" s="19"/>
      <c r="U14" s="19"/>
      <c r="V14" s="19"/>
      <c r="W14" s="19"/>
      <c r="X14" s="19"/>
      <c r="Y14" s="19"/>
      <c r="Z14" s="19"/>
      <c r="AA14" s="19"/>
      <c r="AB14" s="19"/>
      <c r="AC14" s="20"/>
      <c r="AD14" s="21"/>
      <c r="AE14" s="21"/>
      <c r="AF14" s="22"/>
      <c r="AG14" s="21"/>
      <c r="AH14" s="19"/>
      <c r="AI14" s="19"/>
      <c r="AJ14" s="19"/>
      <c r="AK14" s="19"/>
      <c r="AL14" s="19"/>
      <c r="AM14" s="19"/>
      <c r="AN14" s="19"/>
      <c r="AO14" s="19"/>
      <c r="AP14" s="20"/>
      <c r="AQ14" s="23"/>
    </row>
    <row r="15" spans="1:43" ht="31.2" x14ac:dyDescent="0.25">
      <c r="A15" s="36" t="str">
        <f t="shared" si="1"/>
        <v>5020301000</v>
      </c>
      <c r="B15" s="38" t="s">
        <v>109</v>
      </c>
      <c r="C15" s="61" t="s">
        <v>74</v>
      </c>
      <c r="D15" s="54" t="s">
        <v>156</v>
      </c>
      <c r="E15" s="13" t="s">
        <v>70</v>
      </c>
      <c r="F15" s="39">
        <v>46023</v>
      </c>
      <c r="G15" s="39"/>
      <c r="H15" s="14"/>
      <c r="I15" s="39">
        <v>46357</v>
      </c>
      <c r="J15" s="15" t="s">
        <v>36</v>
      </c>
      <c r="K15" s="71">
        <f t="shared" si="0"/>
        <v>26294</v>
      </c>
      <c r="L15" s="40">
        <v>26294</v>
      </c>
      <c r="M15" s="16"/>
      <c r="N15" s="42" t="s">
        <v>97</v>
      </c>
      <c r="O15" s="18"/>
      <c r="P15" s="19"/>
      <c r="Q15" s="19"/>
      <c r="R15" s="19"/>
      <c r="S15" s="19"/>
      <c r="T15" s="19"/>
      <c r="U15" s="19"/>
      <c r="V15" s="19"/>
      <c r="W15" s="19"/>
      <c r="X15" s="19"/>
      <c r="Y15" s="19"/>
      <c r="Z15" s="19"/>
      <c r="AA15" s="19"/>
      <c r="AB15" s="19"/>
      <c r="AC15" s="20"/>
      <c r="AD15" s="21"/>
      <c r="AE15" s="21"/>
      <c r="AF15" s="22"/>
      <c r="AG15" s="21"/>
      <c r="AH15" s="19"/>
      <c r="AI15" s="19"/>
      <c r="AJ15" s="19"/>
      <c r="AK15" s="19"/>
      <c r="AL15" s="19"/>
      <c r="AM15" s="19"/>
      <c r="AN15" s="19"/>
      <c r="AO15" s="19"/>
      <c r="AP15" s="20"/>
      <c r="AQ15" s="23"/>
    </row>
    <row r="16" spans="1:43" ht="31.2" x14ac:dyDescent="0.25">
      <c r="A16" s="36" t="str">
        <f t="shared" si="1"/>
        <v>5029902000</v>
      </c>
      <c r="B16" s="38" t="s">
        <v>110</v>
      </c>
      <c r="C16" s="61" t="s">
        <v>89</v>
      </c>
      <c r="D16" s="54" t="s">
        <v>156</v>
      </c>
      <c r="E16" s="13" t="s">
        <v>70</v>
      </c>
      <c r="F16" s="39">
        <v>46023</v>
      </c>
      <c r="G16" s="39"/>
      <c r="H16" s="14"/>
      <c r="I16" s="39">
        <v>46357</v>
      </c>
      <c r="J16" s="15" t="s">
        <v>36</v>
      </c>
      <c r="K16" s="71">
        <f t="shared" si="0"/>
        <v>51500</v>
      </c>
      <c r="L16" s="40">
        <v>51500</v>
      </c>
      <c r="M16" s="16"/>
      <c r="N16" s="42" t="s">
        <v>97</v>
      </c>
      <c r="O16" s="18"/>
      <c r="P16" s="19"/>
      <c r="Q16" s="19"/>
      <c r="R16" s="19"/>
      <c r="S16" s="19"/>
      <c r="T16" s="19"/>
      <c r="U16" s="19"/>
      <c r="V16" s="19"/>
      <c r="W16" s="19"/>
      <c r="X16" s="19"/>
      <c r="Y16" s="19"/>
      <c r="Z16" s="19"/>
      <c r="AA16" s="19"/>
      <c r="AB16" s="19"/>
      <c r="AC16" s="20"/>
      <c r="AD16" s="21"/>
      <c r="AE16" s="21"/>
      <c r="AF16" s="22"/>
      <c r="AG16" s="21"/>
      <c r="AH16" s="19"/>
      <c r="AI16" s="19"/>
      <c r="AJ16" s="19"/>
      <c r="AK16" s="19"/>
      <c r="AL16" s="19"/>
      <c r="AM16" s="19"/>
      <c r="AN16" s="19"/>
      <c r="AO16" s="19"/>
      <c r="AP16" s="20"/>
      <c r="AQ16" s="23"/>
    </row>
    <row r="17" spans="1:14" ht="31.2" x14ac:dyDescent="0.25">
      <c r="A17" s="36" t="str">
        <f t="shared" si="1"/>
        <v>5020399000</v>
      </c>
      <c r="B17" s="38" t="s">
        <v>111</v>
      </c>
      <c r="C17" s="61" t="s">
        <v>84</v>
      </c>
      <c r="D17" s="54" t="s">
        <v>156</v>
      </c>
      <c r="E17" s="13" t="s">
        <v>70</v>
      </c>
      <c r="F17" s="39">
        <v>46023</v>
      </c>
      <c r="G17" s="39"/>
      <c r="H17" s="14"/>
      <c r="I17" s="39">
        <v>46357</v>
      </c>
      <c r="J17" s="15" t="s">
        <v>36</v>
      </c>
      <c r="K17" s="71">
        <f t="shared" si="0"/>
        <v>149600</v>
      </c>
      <c r="L17" s="40">
        <v>149600</v>
      </c>
      <c r="M17" s="16"/>
      <c r="N17" s="42" t="s">
        <v>161</v>
      </c>
    </row>
    <row r="18" spans="1:14" ht="31.2" x14ac:dyDescent="0.25">
      <c r="A18" s="36" t="str">
        <f t="shared" si="1"/>
        <v>5020321002</v>
      </c>
      <c r="B18" s="38" t="s">
        <v>112</v>
      </c>
      <c r="C18" s="61" t="s">
        <v>82</v>
      </c>
      <c r="D18" s="54" t="s">
        <v>156</v>
      </c>
      <c r="E18" s="13" t="s">
        <v>70</v>
      </c>
      <c r="F18" s="39">
        <v>46023</v>
      </c>
      <c r="G18" s="39"/>
      <c r="H18" s="14"/>
      <c r="I18" s="39">
        <v>46357</v>
      </c>
      <c r="J18" s="15" t="s">
        <v>36</v>
      </c>
      <c r="K18" s="71">
        <f t="shared" si="0"/>
        <v>15200</v>
      </c>
      <c r="L18" s="40">
        <v>15200</v>
      </c>
      <c r="M18" s="16"/>
      <c r="N18" s="42" t="s">
        <v>161</v>
      </c>
    </row>
    <row r="19" spans="1:14" ht="31.2" x14ac:dyDescent="0.25">
      <c r="A19" s="36" t="str">
        <f t="shared" si="1"/>
        <v>5020399000</v>
      </c>
      <c r="B19" s="38" t="s">
        <v>114</v>
      </c>
      <c r="C19" s="61" t="s">
        <v>84</v>
      </c>
      <c r="D19" s="54" t="s">
        <v>113</v>
      </c>
      <c r="E19" s="13" t="s">
        <v>70</v>
      </c>
      <c r="F19" s="39">
        <v>46023</v>
      </c>
      <c r="G19" s="39"/>
      <c r="H19" s="14"/>
      <c r="I19" s="39">
        <v>46357</v>
      </c>
      <c r="J19" s="15" t="s">
        <v>36</v>
      </c>
      <c r="K19" s="71">
        <f t="shared" si="0"/>
        <v>36800</v>
      </c>
      <c r="L19" s="40">
        <v>36800</v>
      </c>
      <c r="M19" s="16"/>
      <c r="N19" s="42" t="s">
        <v>97</v>
      </c>
    </row>
    <row r="20" spans="1:14" ht="31.2" x14ac:dyDescent="0.25">
      <c r="A20" s="36" t="str">
        <f t="shared" si="1"/>
        <v>5020399000</v>
      </c>
      <c r="B20" s="38" t="s">
        <v>115</v>
      </c>
      <c r="C20" s="61" t="s">
        <v>84</v>
      </c>
      <c r="D20" s="54" t="s">
        <v>113</v>
      </c>
      <c r="E20" s="13" t="s">
        <v>70</v>
      </c>
      <c r="F20" s="39">
        <v>46023</v>
      </c>
      <c r="G20" s="39"/>
      <c r="H20" s="14"/>
      <c r="I20" s="39">
        <v>46357</v>
      </c>
      <c r="J20" s="15" t="s">
        <v>36</v>
      </c>
      <c r="K20" s="71">
        <f t="shared" si="0"/>
        <v>18600</v>
      </c>
      <c r="L20" s="40">
        <v>18600</v>
      </c>
      <c r="M20" s="16"/>
      <c r="N20" s="42" t="s">
        <v>97</v>
      </c>
    </row>
    <row r="21" spans="1:14" ht="31.2" x14ac:dyDescent="0.25">
      <c r="A21" s="36" t="str">
        <f t="shared" si="1"/>
        <v>5020399000</v>
      </c>
      <c r="B21" s="38" t="s">
        <v>116</v>
      </c>
      <c r="C21" s="61" t="s">
        <v>84</v>
      </c>
      <c r="D21" s="54" t="s">
        <v>113</v>
      </c>
      <c r="E21" s="13" t="s">
        <v>35</v>
      </c>
      <c r="F21" s="39">
        <v>46023</v>
      </c>
      <c r="G21" s="39"/>
      <c r="H21" s="14"/>
      <c r="I21" s="39">
        <v>46357</v>
      </c>
      <c r="J21" s="15" t="s">
        <v>36</v>
      </c>
      <c r="K21" s="71">
        <f t="shared" si="0"/>
        <v>38316</v>
      </c>
      <c r="L21" s="40">
        <v>38316</v>
      </c>
      <c r="M21" s="16"/>
      <c r="N21" s="42" t="s">
        <v>97</v>
      </c>
    </row>
    <row r="22" spans="1:14" ht="31.2" x14ac:dyDescent="0.25">
      <c r="A22" s="36" t="str">
        <f t="shared" si="1"/>
        <v>5020399000</v>
      </c>
      <c r="B22" s="38" t="s">
        <v>117</v>
      </c>
      <c r="C22" s="61" t="s">
        <v>84</v>
      </c>
      <c r="D22" s="54" t="s">
        <v>113</v>
      </c>
      <c r="E22" s="13" t="s">
        <v>70</v>
      </c>
      <c r="F22" s="39">
        <v>46023</v>
      </c>
      <c r="G22" s="39"/>
      <c r="H22" s="14"/>
      <c r="I22" s="39">
        <v>46357</v>
      </c>
      <c r="J22" s="15" t="s">
        <v>36</v>
      </c>
      <c r="K22" s="71">
        <f t="shared" si="0"/>
        <v>13752</v>
      </c>
      <c r="L22" s="40">
        <v>13752</v>
      </c>
      <c r="M22" s="16"/>
      <c r="N22" s="42" t="s">
        <v>97</v>
      </c>
    </row>
    <row r="23" spans="1:14" ht="31.2" x14ac:dyDescent="0.25">
      <c r="A23" s="36" t="str">
        <f t="shared" si="1"/>
        <v>5020399000</v>
      </c>
      <c r="B23" s="38" t="s">
        <v>118</v>
      </c>
      <c r="C23" s="61" t="s">
        <v>84</v>
      </c>
      <c r="D23" s="54" t="s">
        <v>113</v>
      </c>
      <c r="E23" s="13" t="s">
        <v>70</v>
      </c>
      <c r="F23" s="39">
        <v>46023</v>
      </c>
      <c r="G23" s="39"/>
      <c r="H23" s="14"/>
      <c r="I23" s="39">
        <v>46357</v>
      </c>
      <c r="J23" s="15" t="s">
        <v>36</v>
      </c>
      <c r="K23" s="71">
        <f t="shared" si="0"/>
        <v>30960</v>
      </c>
      <c r="L23" s="40">
        <v>30960</v>
      </c>
      <c r="M23" s="16"/>
      <c r="N23" s="42" t="s">
        <v>97</v>
      </c>
    </row>
    <row r="24" spans="1:14" ht="41.4" x14ac:dyDescent="0.25">
      <c r="A24" s="36" t="str">
        <f t="shared" si="1"/>
        <v>5020301000</v>
      </c>
      <c r="B24" s="38" t="s">
        <v>119</v>
      </c>
      <c r="C24" s="61" t="s">
        <v>74</v>
      </c>
      <c r="D24" s="54" t="s">
        <v>113</v>
      </c>
      <c r="E24" s="13" t="s">
        <v>70</v>
      </c>
      <c r="F24" s="39">
        <v>46023</v>
      </c>
      <c r="G24" s="39"/>
      <c r="H24" s="14"/>
      <c r="I24" s="39">
        <v>46357</v>
      </c>
      <c r="J24" s="15" t="s">
        <v>36</v>
      </c>
      <c r="K24" s="71">
        <f t="shared" si="0"/>
        <v>61568</v>
      </c>
      <c r="L24" s="40">
        <v>61568</v>
      </c>
      <c r="M24" s="16"/>
      <c r="N24" s="42" t="s">
        <v>97</v>
      </c>
    </row>
    <row r="25" spans="1:14" ht="31.2" x14ac:dyDescent="0.25">
      <c r="A25" s="36" t="str">
        <f t="shared" si="1"/>
        <v>5020201000</v>
      </c>
      <c r="B25" s="38" t="s">
        <v>121</v>
      </c>
      <c r="C25" s="61" t="s">
        <v>73</v>
      </c>
      <c r="D25" s="54" t="s">
        <v>120</v>
      </c>
      <c r="E25" s="13" t="s">
        <v>70</v>
      </c>
      <c r="F25" s="39">
        <v>46023</v>
      </c>
      <c r="G25" s="39"/>
      <c r="H25" s="14"/>
      <c r="I25" s="39">
        <v>46357</v>
      </c>
      <c r="J25" s="15" t="s">
        <v>36</v>
      </c>
      <c r="K25" s="71">
        <f t="shared" si="0"/>
        <v>20000</v>
      </c>
      <c r="L25" s="40">
        <v>20000</v>
      </c>
      <c r="M25" s="16"/>
      <c r="N25" s="42" t="s">
        <v>97</v>
      </c>
    </row>
    <row r="26" spans="1:14" ht="31.2" x14ac:dyDescent="0.25">
      <c r="A26" s="36" t="str">
        <f t="shared" si="1"/>
        <v>5020399000</v>
      </c>
      <c r="B26" s="38" t="s">
        <v>122</v>
      </c>
      <c r="C26" s="61" t="s">
        <v>84</v>
      </c>
      <c r="D26" s="54" t="s">
        <v>120</v>
      </c>
      <c r="E26" s="13" t="s">
        <v>70</v>
      </c>
      <c r="F26" s="39">
        <v>46023</v>
      </c>
      <c r="G26" s="39"/>
      <c r="H26" s="14"/>
      <c r="I26" s="39">
        <v>46357</v>
      </c>
      <c r="J26" s="15" t="s">
        <v>36</v>
      </c>
      <c r="K26" s="71">
        <f t="shared" si="0"/>
        <v>6648</v>
      </c>
      <c r="L26" s="40">
        <v>6648</v>
      </c>
      <c r="M26" s="16"/>
      <c r="N26" s="42" t="s">
        <v>97</v>
      </c>
    </row>
    <row r="27" spans="1:14" ht="31.2" x14ac:dyDescent="0.25">
      <c r="A27" s="36" t="str">
        <f t="shared" si="1"/>
        <v>5020399000</v>
      </c>
      <c r="B27" s="38" t="s">
        <v>123</v>
      </c>
      <c r="C27" s="61" t="s">
        <v>84</v>
      </c>
      <c r="D27" s="54" t="s">
        <v>120</v>
      </c>
      <c r="E27" s="13" t="s">
        <v>70</v>
      </c>
      <c r="F27" s="39">
        <v>46023</v>
      </c>
      <c r="G27" s="39"/>
      <c r="H27" s="14"/>
      <c r="I27" s="39">
        <v>46357</v>
      </c>
      <c r="J27" s="15" t="s">
        <v>36</v>
      </c>
      <c r="K27" s="71">
        <f t="shared" si="0"/>
        <v>501.6</v>
      </c>
      <c r="L27" s="40">
        <v>501.6</v>
      </c>
      <c r="M27" s="16"/>
      <c r="N27" s="42" t="s">
        <v>97</v>
      </c>
    </row>
    <row r="28" spans="1:14" ht="31.2" x14ac:dyDescent="0.25">
      <c r="A28" s="36" t="str">
        <f t="shared" si="1"/>
        <v>5020321002</v>
      </c>
      <c r="B28" s="38" t="s">
        <v>125</v>
      </c>
      <c r="C28" s="61" t="s">
        <v>82</v>
      </c>
      <c r="D28" s="54" t="s">
        <v>124</v>
      </c>
      <c r="E28" s="13" t="s">
        <v>35</v>
      </c>
      <c r="F28" s="39">
        <v>46023</v>
      </c>
      <c r="G28" s="39"/>
      <c r="H28" s="14"/>
      <c r="I28" s="39">
        <v>46357</v>
      </c>
      <c r="J28" s="15" t="s">
        <v>36</v>
      </c>
      <c r="K28" s="71">
        <f t="shared" si="0"/>
        <v>429500</v>
      </c>
      <c r="L28" s="40">
        <v>429500</v>
      </c>
      <c r="M28" s="16"/>
      <c r="N28" s="42" t="s">
        <v>97</v>
      </c>
    </row>
    <row r="29" spans="1:14" ht="31.2" x14ac:dyDescent="0.25">
      <c r="A29" s="36" t="str">
        <f t="shared" si="1"/>
        <v>5020399000</v>
      </c>
      <c r="B29" s="38" t="s">
        <v>126</v>
      </c>
      <c r="C29" s="61" t="s">
        <v>84</v>
      </c>
      <c r="D29" s="54" t="s">
        <v>124</v>
      </c>
      <c r="E29" s="13" t="s">
        <v>35</v>
      </c>
      <c r="F29" s="39">
        <v>46023</v>
      </c>
      <c r="G29" s="39"/>
      <c r="H29" s="14"/>
      <c r="I29" s="39">
        <v>46357</v>
      </c>
      <c r="J29" s="15" t="s">
        <v>36</v>
      </c>
      <c r="K29" s="71">
        <f t="shared" si="0"/>
        <v>145400</v>
      </c>
      <c r="L29" s="40">
        <v>145400</v>
      </c>
      <c r="M29" s="16"/>
      <c r="N29" s="42" t="s">
        <v>97</v>
      </c>
    </row>
    <row r="30" spans="1:14" ht="27.6" x14ac:dyDescent="0.25">
      <c r="A30" s="36" t="str">
        <f t="shared" si="1"/>
        <v>5029907000</v>
      </c>
      <c r="B30" s="38" t="s">
        <v>127</v>
      </c>
      <c r="C30" s="61" t="s">
        <v>92</v>
      </c>
      <c r="D30" s="54" t="s">
        <v>124</v>
      </c>
      <c r="E30" s="13" t="s">
        <v>35</v>
      </c>
      <c r="F30" s="39">
        <v>46023</v>
      </c>
      <c r="G30" s="39"/>
      <c r="H30" s="14"/>
      <c r="I30" s="39">
        <v>46357</v>
      </c>
      <c r="J30" s="15" t="s">
        <v>36</v>
      </c>
      <c r="K30" s="71">
        <f t="shared" si="0"/>
        <v>680000</v>
      </c>
      <c r="L30" s="40">
        <v>680000</v>
      </c>
      <c r="M30" s="16"/>
      <c r="N30" s="42" t="s">
        <v>162</v>
      </c>
    </row>
    <row r="31" spans="1:14" ht="31.2" x14ac:dyDescent="0.25">
      <c r="A31" s="36" t="str">
        <f t="shared" si="1"/>
        <v>5020399000</v>
      </c>
      <c r="B31" s="38" t="s">
        <v>129</v>
      </c>
      <c r="C31" s="61" t="s">
        <v>84</v>
      </c>
      <c r="D31" s="54" t="s">
        <v>157</v>
      </c>
      <c r="E31" s="13" t="s">
        <v>35</v>
      </c>
      <c r="F31" s="39">
        <v>46023</v>
      </c>
      <c r="G31" s="39"/>
      <c r="H31" s="14"/>
      <c r="I31" s="39">
        <v>46357</v>
      </c>
      <c r="J31" s="15" t="s">
        <v>36</v>
      </c>
      <c r="K31" s="71">
        <f t="shared" si="0"/>
        <v>230832</v>
      </c>
      <c r="L31" s="40">
        <v>230832</v>
      </c>
      <c r="M31" s="16"/>
      <c r="N31" s="42" t="s">
        <v>97</v>
      </c>
    </row>
    <row r="32" spans="1:14" ht="31.2" x14ac:dyDescent="0.25">
      <c r="A32" s="36" t="str">
        <f t="shared" si="1"/>
        <v>5020399000</v>
      </c>
      <c r="B32" s="38" t="s">
        <v>130</v>
      </c>
      <c r="C32" s="61" t="s">
        <v>84</v>
      </c>
      <c r="D32" s="54" t="s">
        <v>157</v>
      </c>
      <c r="E32" s="13" t="s">
        <v>35</v>
      </c>
      <c r="F32" s="39">
        <v>46023</v>
      </c>
      <c r="G32" s="39"/>
      <c r="H32" s="14"/>
      <c r="I32" s="39">
        <v>46357</v>
      </c>
      <c r="J32" s="15" t="s">
        <v>36</v>
      </c>
      <c r="K32" s="71">
        <f t="shared" si="0"/>
        <v>263608</v>
      </c>
      <c r="L32" s="40">
        <v>263608</v>
      </c>
      <c r="M32" s="16"/>
      <c r="N32" s="42" t="s">
        <v>97</v>
      </c>
    </row>
    <row r="33" spans="1:14" ht="31.2" x14ac:dyDescent="0.25">
      <c r="A33" s="36" t="str">
        <f t="shared" si="1"/>
        <v>5020399000</v>
      </c>
      <c r="B33" s="38" t="s">
        <v>131</v>
      </c>
      <c r="C33" s="61" t="s">
        <v>84</v>
      </c>
      <c r="D33" s="54" t="s">
        <v>157</v>
      </c>
      <c r="E33" s="13" t="s">
        <v>35</v>
      </c>
      <c r="F33" s="39">
        <v>46023</v>
      </c>
      <c r="G33" s="39"/>
      <c r="H33" s="14"/>
      <c r="I33" s="39">
        <v>46357</v>
      </c>
      <c r="J33" s="15" t="s">
        <v>36</v>
      </c>
      <c r="K33" s="71">
        <f t="shared" si="0"/>
        <v>84000</v>
      </c>
      <c r="L33" s="40">
        <v>84000</v>
      </c>
      <c r="M33" s="16"/>
      <c r="N33" s="42" t="s">
        <v>97</v>
      </c>
    </row>
    <row r="34" spans="1:14" ht="31.2" x14ac:dyDescent="0.25">
      <c r="A34" s="36" t="str">
        <f t="shared" si="1"/>
        <v>5020301000</v>
      </c>
      <c r="B34" s="38" t="s">
        <v>132</v>
      </c>
      <c r="C34" s="61" t="s">
        <v>74</v>
      </c>
      <c r="D34" s="54" t="s">
        <v>157</v>
      </c>
      <c r="E34" s="13" t="s">
        <v>35</v>
      </c>
      <c r="F34" s="39">
        <v>46023</v>
      </c>
      <c r="G34" s="39"/>
      <c r="H34" s="14"/>
      <c r="I34" s="39">
        <v>46357</v>
      </c>
      <c r="J34" s="15" t="s">
        <v>36</v>
      </c>
      <c r="K34" s="71">
        <f t="shared" si="0"/>
        <v>48547.199999999997</v>
      </c>
      <c r="L34" s="40">
        <v>48547.199999999997</v>
      </c>
      <c r="M34" s="16"/>
      <c r="N34" s="42" t="s">
        <v>97</v>
      </c>
    </row>
    <row r="35" spans="1:14" ht="31.2" x14ac:dyDescent="0.25">
      <c r="A35" s="36" t="str">
        <f t="shared" si="1"/>
        <v>5029907000</v>
      </c>
      <c r="B35" s="38" t="s">
        <v>133</v>
      </c>
      <c r="C35" s="61" t="s">
        <v>92</v>
      </c>
      <c r="D35" s="54" t="s">
        <v>157</v>
      </c>
      <c r="E35" s="13" t="s">
        <v>35</v>
      </c>
      <c r="F35" s="39">
        <v>46023</v>
      </c>
      <c r="G35" s="39"/>
      <c r="H35" s="14"/>
      <c r="I35" s="39">
        <v>46357</v>
      </c>
      <c r="J35" s="15" t="s">
        <v>36</v>
      </c>
      <c r="K35" s="71">
        <f t="shared" si="0"/>
        <v>100000</v>
      </c>
      <c r="L35" s="40">
        <v>100000</v>
      </c>
      <c r="M35" s="16"/>
      <c r="N35" s="42" t="s">
        <v>97</v>
      </c>
    </row>
    <row r="36" spans="1:14" ht="31.2" x14ac:dyDescent="0.25">
      <c r="A36" s="36" t="str">
        <f t="shared" si="1"/>
        <v>5020399000</v>
      </c>
      <c r="B36" s="38" t="s">
        <v>134</v>
      </c>
      <c r="C36" s="61" t="s">
        <v>84</v>
      </c>
      <c r="D36" s="54" t="s">
        <v>158</v>
      </c>
      <c r="E36" s="13" t="s">
        <v>35</v>
      </c>
      <c r="F36" s="39">
        <v>46023</v>
      </c>
      <c r="G36" s="39"/>
      <c r="H36" s="14"/>
      <c r="I36" s="39">
        <v>46357</v>
      </c>
      <c r="J36" s="15" t="s">
        <v>36</v>
      </c>
      <c r="K36" s="71">
        <f t="shared" si="0"/>
        <v>397680</v>
      </c>
      <c r="L36" s="40">
        <v>397680</v>
      </c>
      <c r="M36" s="16"/>
      <c r="N36" s="42" t="s">
        <v>97</v>
      </c>
    </row>
    <row r="37" spans="1:14" ht="31.2" x14ac:dyDescent="0.25">
      <c r="A37" s="36" t="str">
        <f t="shared" si="1"/>
        <v>5020399000</v>
      </c>
      <c r="B37" s="38" t="s">
        <v>135</v>
      </c>
      <c r="C37" s="61" t="s">
        <v>84</v>
      </c>
      <c r="D37" s="54" t="s">
        <v>158</v>
      </c>
      <c r="E37" s="13" t="s">
        <v>35</v>
      </c>
      <c r="F37" s="39">
        <v>46023</v>
      </c>
      <c r="G37" s="39"/>
      <c r="H37" s="14"/>
      <c r="I37" s="39">
        <v>46357</v>
      </c>
      <c r="J37" s="15" t="s">
        <v>36</v>
      </c>
      <c r="K37" s="71">
        <f t="shared" si="0"/>
        <v>144837</v>
      </c>
      <c r="L37" s="40">
        <v>144837</v>
      </c>
      <c r="M37" s="16"/>
      <c r="N37" s="42" t="s">
        <v>97</v>
      </c>
    </row>
    <row r="38" spans="1:14" ht="31.2" x14ac:dyDescent="0.25">
      <c r="A38" s="36" t="str">
        <f t="shared" si="1"/>
        <v>5020308000</v>
      </c>
      <c r="B38" s="38" t="s">
        <v>136</v>
      </c>
      <c r="C38" s="61" t="s">
        <v>77</v>
      </c>
      <c r="D38" s="54" t="s">
        <v>158</v>
      </c>
      <c r="E38" s="13" t="s">
        <v>35</v>
      </c>
      <c r="F38" s="39">
        <v>46023</v>
      </c>
      <c r="G38" s="39"/>
      <c r="H38" s="14"/>
      <c r="I38" s="39">
        <v>46357</v>
      </c>
      <c r="J38" s="15" t="s">
        <v>36</v>
      </c>
      <c r="K38" s="71">
        <f t="shared" si="0"/>
        <v>125000</v>
      </c>
      <c r="L38" s="40">
        <v>125000</v>
      </c>
      <c r="M38" s="16"/>
      <c r="N38" s="42" t="s">
        <v>97</v>
      </c>
    </row>
    <row r="39" spans="1:14" ht="31.2" x14ac:dyDescent="0.25">
      <c r="A39" s="36" t="str">
        <f t="shared" si="1"/>
        <v>5020301000</v>
      </c>
      <c r="B39" s="38" t="s">
        <v>137</v>
      </c>
      <c r="C39" s="61" t="s">
        <v>74</v>
      </c>
      <c r="D39" s="54" t="s">
        <v>158</v>
      </c>
      <c r="E39" s="13" t="s">
        <v>35</v>
      </c>
      <c r="F39" s="39">
        <v>46023</v>
      </c>
      <c r="G39" s="39"/>
      <c r="H39" s="14"/>
      <c r="I39" s="39">
        <v>46357</v>
      </c>
      <c r="J39" s="15" t="s">
        <v>36</v>
      </c>
      <c r="K39" s="71">
        <f t="shared" si="0"/>
        <v>1192019.2</v>
      </c>
      <c r="L39" s="40">
        <f>1166519.2+25500</f>
        <v>1192019.2</v>
      </c>
      <c r="M39" s="16"/>
      <c r="N39" s="42" t="s">
        <v>97</v>
      </c>
    </row>
    <row r="40" spans="1:14" ht="31.2" x14ac:dyDescent="0.25">
      <c r="A40" s="36" t="str">
        <f t="shared" si="1"/>
        <v>5029907000</v>
      </c>
      <c r="B40" s="38" t="s">
        <v>138</v>
      </c>
      <c r="C40" s="61" t="s">
        <v>92</v>
      </c>
      <c r="D40" s="54" t="s">
        <v>158</v>
      </c>
      <c r="E40" s="13" t="s">
        <v>35</v>
      </c>
      <c r="F40" s="39">
        <v>46023</v>
      </c>
      <c r="G40" s="39"/>
      <c r="H40" s="14"/>
      <c r="I40" s="39">
        <v>46357</v>
      </c>
      <c r="J40" s="15" t="s">
        <v>36</v>
      </c>
      <c r="K40" s="71">
        <f t="shared" si="0"/>
        <v>680000</v>
      </c>
      <c r="L40" s="40">
        <v>680000</v>
      </c>
      <c r="M40" s="16"/>
      <c r="N40" s="42" t="s">
        <v>97</v>
      </c>
    </row>
    <row r="41" spans="1:14" ht="41.4" x14ac:dyDescent="0.25">
      <c r="A41" s="36" t="str">
        <f t="shared" si="1"/>
        <v>5020399000</v>
      </c>
      <c r="B41" s="38" t="s">
        <v>139</v>
      </c>
      <c r="C41" s="61" t="s">
        <v>84</v>
      </c>
      <c r="D41" s="54" t="s">
        <v>158</v>
      </c>
      <c r="E41" s="13" t="s">
        <v>35</v>
      </c>
      <c r="F41" s="39">
        <v>46023</v>
      </c>
      <c r="G41" s="39"/>
      <c r="H41" s="14"/>
      <c r="I41" s="39">
        <v>46357</v>
      </c>
      <c r="J41" s="15" t="s">
        <v>36</v>
      </c>
      <c r="K41" s="71">
        <f t="shared" si="0"/>
        <v>5000000</v>
      </c>
      <c r="L41" s="40">
        <v>5000000</v>
      </c>
      <c r="M41" s="16"/>
      <c r="N41" s="42" t="s">
        <v>97</v>
      </c>
    </row>
    <row r="42" spans="1:14" ht="31.2" x14ac:dyDescent="0.25">
      <c r="A42" s="36" t="str">
        <f t="shared" si="1"/>
        <v>5020399000</v>
      </c>
      <c r="B42" s="38" t="s">
        <v>141</v>
      </c>
      <c r="C42" s="61" t="s">
        <v>84</v>
      </c>
      <c r="D42" s="54" t="s">
        <v>140</v>
      </c>
      <c r="E42" s="13" t="s">
        <v>35</v>
      </c>
      <c r="F42" s="39">
        <v>46023</v>
      </c>
      <c r="G42" s="39"/>
      <c r="H42" s="14"/>
      <c r="I42" s="39">
        <v>46357</v>
      </c>
      <c r="J42" s="15" t="s">
        <v>36</v>
      </c>
      <c r="K42" s="71">
        <f t="shared" si="0"/>
        <v>83052</v>
      </c>
      <c r="L42" s="40">
        <v>83052</v>
      </c>
      <c r="M42" s="16"/>
      <c r="N42" s="42" t="s">
        <v>97</v>
      </c>
    </row>
    <row r="43" spans="1:14" ht="31.2" x14ac:dyDescent="0.25">
      <c r="A43" s="36" t="str">
        <f t="shared" si="1"/>
        <v>5020399000</v>
      </c>
      <c r="B43" s="38" t="s">
        <v>142</v>
      </c>
      <c r="C43" s="61" t="s">
        <v>84</v>
      </c>
      <c r="D43" s="54" t="s">
        <v>140</v>
      </c>
      <c r="E43" s="13" t="s">
        <v>35</v>
      </c>
      <c r="F43" s="39">
        <v>46023</v>
      </c>
      <c r="G43" s="39"/>
      <c r="H43" s="14"/>
      <c r="I43" s="39">
        <v>46357</v>
      </c>
      <c r="J43" s="15" t="s">
        <v>36</v>
      </c>
      <c r="K43" s="71">
        <f t="shared" si="0"/>
        <v>28080</v>
      </c>
      <c r="L43" s="40">
        <v>28080</v>
      </c>
      <c r="M43" s="16"/>
      <c r="N43" s="42" t="s">
        <v>97</v>
      </c>
    </row>
    <row r="44" spans="1:14" ht="31.2" x14ac:dyDescent="0.25">
      <c r="A44" s="36" t="str">
        <f t="shared" si="1"/>
        <v>5020301000</v>
      </c>
      <c r="B44" s="38" t="s">
        <v>143</v>
      </c>
      <c r="C44" s="61" t="s">
        <v>74</v>
      </c>
      <c r="D44" s="54" t="s">
        <v>140</v>
      </c>
      <c r="E44" s="13" t="s">
        <v>35</v>
      </c>
      <c r="F44" s="39">
        <v>46023</v>
      </c>
      <c r="G44" s="39"/>
      <c r="H44" s="14"/>
      <c r="I44" s="39">
        <v>46357</v>
      </c>
      <c r="J44" s="15" t="s">
        <v>36</v>
      </c>
      <c r="K44" s="71">
        <f t="shared" si="0"/>
        <v>8520</v>
      </c>
      <c r="L44" s="40">
        <v>8520</v>
      </c>
      <c r="M44" s="16"/>
      <c r="N44" s="42" t="s">
        <v>97</v>
      </c>
    </row>
    <row r="45" spans="1:14" ht="31.2" x14ac:dyDescent="0.25">
      <c r="A45" s="36" t="str">
        <f t="shared" si="1"/>
        <v>5020399000</v>
      </c>
      <c r="B45" s="38" t="s">
        <v>144</v>
      </c>
      <c r="C45" s="61" t="s">
        <v>84</v>
      </c>
      <c r="D45" s="54" t="s">
        <v>140</v>
      </c>
      <c r="E45" s="13" t="s">
        <v>35</v>
      </c>
      <c r="F45" s="39">
        <v>46023</v>
      </c>
      <c r="G45" s="39"/>
      <c r="H45" s="14"/>
      <c r="I45" s="39">
        <v>46357</v>
      </c>
      <c r="J45" s="15" t="s">
        <v>36</v>
      </c>
      <c r="K45" s="71">
        <f t="shared" si="0"/>
        <v>60576</v>
      </c>
      <c r="L45" s="40">
        <v>60576</v>
      </c>
      <c r="M45" s="16"/>
      <c r="N45" s="42" t="s">
        <v>97</v>
      </c>
    </row>
    <row r="46" spans="1:14" ht="41.4" x14ac:dyDescent="0.25">
      <c r="A46" s="36" t="str">
        <f t="shared" si="1"/>
        <v>5020201000</v>
      </c>
      <c r="B46" s="38" t="s">
        <v>146</v>
      </c>
      <c r="C46" s="61" t="s">
        <v>73</v>
      </c>
      <c r="D46" s="54" t="s">
        <v>145</v>
      </c>
      <c r="E46" s="13" t="s">
        <v>70</v>
      </c>
      <c r="F46" s="39">
        <v>46023</v>
      </c>
      <c r="G46" s="39"/>
      <c r="H46" s="14"/>
      <c r="I46" s="39">
        <v>46357</v>
      </c>
      <c r="J46" s="15" t="s">
        <v>36</v>
      </c>
      <c r="K46" s="71">
        <f t="shared" si="0"/>
        <v>42250</v>
      </c>
      <c r="L46" s="40">
        <v>42250</v>
      </c>
      <c r="M46" s="16"/>
      <c r="N46" s="42" t="s">
        <v>97</v>
      </c>
    </row>
    <row r="47" spans="1:14" ht="41.4" x14ac:dyDescent="0.25">
      <c r="A47" s="36" t="str">
        <f t="shared" si="1"/>
        <v>5020399000</v>
      </c>
      <c r="B47" s="38" t="s">
        <v>147</v>
      </c>
      <c r="C47" s="61" t="s">
        <v>84</v>
      </c>
      <c r="D47" s="54" t="s">
        <v>145</v>
      </c>
      <c r="E47" s="13" t="s">
        <v>70</v>
      </c>
      <c r="F47" s="39">
        <v>46023</v>
      </c>
      <c r="G47" s="39"/>
      <c r="H47" s="14"/>
      <c r="I47" s="39">
        <v>46357</v>
      </c>
      <c r="J47" s="15" t="s">
        <v>36</v>
      </c>
      <c r="K47" s="71">
        <f t="shared" si="0"/>
        <v>350000</v>
      </c>
      <c r="L47" s="40">
        <v>350000</v>
      </c>
      <c r="M47" s="16"/>
      <c r="N47" s="42" t="s">
        <v>97</v>
      </c>
    </row>
    <row r="48" spans="1:14" ht="31.2" x14ac:dyDescent="0.25">
      <c r="A48" s="36" t="str">
        <f t="shared" si="1"/>
        <v>5020301000</v>
      </c>
      <c r="B48" s="38" t="s">
        <v>149</v>
      </c>
      <c r="C48" s="61" t="s">
        <v>74</v>
      </c>
      <c r="D48" s="54" t="s">
        <v>148</v>
      </c>
      <c r="E48" s="13" t="s">
        <v>70</v>
      </c>
      <c r="F48" s="39">
        <v>46023</v>
      </c>
      <c r="G48" s="39"/>
      <c r="H48" s="14"/>
      <c r="I48" s="39">
        <v>46357</v>
      </c>
      <c r="J48" s="15" t="s">
        <v>36</v>
      </c>
      <c r="K48" s="71">
        <f t="shared" si="0"/>
        <v>77689.2</v>
      </c>
      <c r="L48" s="40">
        <v>77689.2</v>
      </c>
      <c r="M48" s="16"/>
      <c r="N48" s="42" t="s">
        <v>97</v>
      </c>
    </row>
    <row r="49" spans="1:14" ht="31.2" x14ac:dyDescent="0.25">
      <c r="A49" s="36" t="str">
        <f t="shared" si="1"/>
        <v>5020399000</v>
      </c>
      <c r="B49" s="38" t="s">
        <v>151</v>
      </c>
      <c r="C49" s="61" t="s">
        <v>84</v>
      </c>
      <c r="D49" s="54" t="s">
        <v>150</v>
      </c>
      <c r="E49" s="13" t="s">
        <v>35</v>
      </c>
      <c r="F49" s="39">
        <v>46023</v>
      </c>
      <c r="G49" s="39"/>
      <c r="H49" s="14"/>
      <c r="I49" s="39">
        <v>46357</v>
      </c>
      <c r="J49" s="15" t="s">
        <v>36</v>
      </c>
      <c r="K49" s="71">
        <f t="shared" si="0"/>
        <v>328800</v>
      </c>
      <c r="L49" s="40">
        <v>328800</v>
      </c>
      <c r="M49" s="16"/>
      <c r="N49" s="42" t="s">
        <v>97</v>
      </c>
    </row>
    <row r="50" spans="1:14" ht="31.2" x14ac:dyDescent="0.25">
      <c r="A50" s="36" t="str">
        <f t="shared" si="1"/>
        <v>5020399000</v>
      </c>
      <c r="B50" s="38" t="s">
        <v>152</v>
      </c>
      <c r="C50" s="61" t="s">
        <v>84</v>
      </c>
      <c r="D50" s="54" t="s">
        <v>150</v>
      </c>
      <c r="E50" s="13" t="s">
        <v>35</v>
      </c>
      <c r="F50" s="39">
        <v>46023</v>
      </c>
      <c r="G50" s="39"/>
      <c r="H50" s="14"/>
      <c r="I50" s="39">
        <v>46357</v>
      </c>
      <c r="J50" s="15" t="s">
        <v>36</v>
      </c>
      <c r="K50" s="71">
        <f t="shared" si="0"/>
        <v>254400</v>
      </c>
      <c r="L50" s="40">
        <v>254400</v>
      </c>
      <c r="M50" s="16"/>
      <c r="N50" s="42" t="s">
        <v>97</v>
      </c>
    </row>
    <row r="51" spans="1:14" ht="31.2" x14ac:dyDescent="0.25">
      <c r="A51" s="36" t="str">
        <f t="shared" si="1"/>
        <v>5020301000</v>
      </c>
      <c r="B51" s="38" t="s">
        <v>153</v>
      </c>
      <c r="C51" s="61" t="s">
        <v>74</v>
      </c>
      <c r="D51" s="54" t="s">
        <v>150</v>
      </c>
      <c r="E51" s="13" t="s">
        <v>35</v>
      </c>
      <c r="F51" s="39">
        <v>46023</v>
      </c>
      <c r="G51" s="39"/>
      <c r="H51" s="14"/>
      <c r="I51" s="39">
        <v>46357</v>
      </c>
      <c r="J51" s="15" t="s">
        <v>36</v>
      </c>
      <c r="K51" s="71">
        <f t="shared" si="0"/>
        <v>17784</v>
      </c>
      <c r="L51" s="40">
        <v>17784</v>
      </c>
      <c r="M51" s="16"/>
      <c r="N51" s="42" t="s">
        <v>97</v>
      </c>
    </row>
    <row r="52" spans="1:14" ht="31.2" x14ac:dyDescent="0.25">
      <c r="A52" s="36" t="str">
        <f t="shared" si="1"/>
        <v>5020399000</v>
      </c>
      <c r="B52" s="38" t="s">
        <v>154</v>
      </c>
      <c r="C52" s="61" t="s">
        <v>84</v>
      </c>
      <c r="D52" s="54" t="s">
        <v>159</v>
      </c>
      <c r="E52" s="13" t="s">
        <v>35</v>
      </c>
      <c r="F52" s="39">
        <v>46023</v>
      </c>
      <c r="G52" s="39"/>
      <c r="H52" s="14"/>
      <c r="I52" s="39">
        <v>46357</v>
      </c>
      <c r="J52" s="15" t="s">
        <v>36</v>
      </c>
      <c r="K52" s="71">
        <f t="shared" si="0"/>
        <v>3000000</v>
      </c>
      <c r="L52" s="40">
        <v>3000000</v>
      </c>
      <c r="M52" s="16"/>
      <c r="N52" s="42" t="s">
        <v>97</v>
      </c>
    </row>
    <row r="53" spans="1:14" ht="31.2" x14ac:dyDescent="0.25">
      <c r="A53" s="36" t="str">
        <f t="shared" si="1"/>
        <v>5020399000</v>
      </c>
      <c r="B53" s="38" t="s">
        <v>155</v>
      </c>
      <c r="C53" s="61" t="s">
        <v>84</v>
      </c>
      <c r="D53" s="54" t="s">
        <v>159</v>
      </c>
      <c r="E53" s="13" t="s">
        <v>35</v>
      </c>
      <c r="F53" s="39">
        <v>46023</v>
      </c>
      <c r="G53" s="39"/>
      <c r="H53" s="14"/>
      <c r="I53" s="39">
        <v>46357</v>
      </c>
      <c r="J53" s="15" t="s">
        <v>36</v>
      </c>
      <c r="K53" s="71">
        <f t="shared" si="0"/>
        <v>1090000</v>
      </c>
      <c r="L53" s="40">
        <v>1090000</v>
      </c>
      <c r="M53" s="16"/>
      <c r="N53" s="42" t="s">
        <v>97</v>
      </c>
    </row>
    <row r="54" spans="1:14" ht="15" customHeight="1" x14ac:dyDescent="0.25">
      <c r="A54" s="36">
        <f t="shared" si="1"/>
        <v>5029902000</v>
      </c>
      <c r="B54" s="48" t="s">
        <v>163</v>
      </c>
      <c r="C54" s="61">
        <v>5029902000</v>
      </c>
      <c r="D54" s="55" t="s">
        <v>128</v>
      </c>
      <c r="E54" s="13" t="s">
        <v>39</v>
      </c>
      <c r="F54" s="39">
        <v>46023</v>
      </c>
      <c r="G54" s="39"/>
      <c r="H54" s="14"/>
      <c r="I54" s="39">
        <v>46357</v>
      </c>
      <c r="J54" s="15" t="s">
        <v>36</v>
      </c>
      <c r="K54" s="72">
        <v>30000</v>
      </c>
      <c r="L54" s="72">
        <v>30000</v>
      </c>
      <c r="M54" s="16"/>
      <c r="N54" s="43" t="s">
        <v>172</v>
      </c>
    </row>
    <row r="55" spans="1:14" ht="15" customHeight="1" x14ac:dyDescent="0.25">
      <c r="A55" s="36" t="str">
        <f t="shared" si="1"/>
        <v>5029903000</v>
      </c>
      <c r="B55" s="48" t="s">
        <v>164</v>
      </c>
      <c r="C55" s="61" t="s">
        <v>90</v>
      </c>
      <c r="D55" s="55" t="s">
        <v>128</v>
      </c>
      <c r="E55" s="13" t="s">
        <v>39</v>
      </c>
      <c r="F55" s="39">
        <v>46023</v>
      </c>
      <c r="G55" s="39"/>
      <c r="H55" s="14"/>
      <c r="I55" s="39">
        <v>46357</v>
      </c>
      <c r="J55" s="15" t="s">
        <v>36</v>
      </c>
      <c r="K55" s="72">
        <v>100000</v>
      </c>
      <c r="L55" s="72">
        <v>100000</v>
      </c>
      <c r="M55" s="16"/>
      <c r="N55" s="44" t="s">
        <v>172</v>
      </c>
    </row>
    <row r="56" spans="1:14" ht="15" customHeight="1" x14ac:dyDescent="0.25">
      <c r="A56" s="36" t="str">
        <f t="shared" si="1"/>
        <v>5020399000</v>
      </c>
      <c r="B56" s="48" t="s">
        <v>165</v>
      </c>
      <c r="C56" s="61" t="s">
        <v>84</v>
      </c>
      <c r="D56" s="55" t="s">
        <v>128</v>
      </c>
      <c r="E56" s="13" t="s">
        <v>39</v>
      </c>
      <c r="F56" s="39">
        <v>46023</v>
      </c>
      <c r="G56" s="39"/>
      <c r="H56" s="14"/>
      <c r="I56" s="39">
        <v>46357</v>
      </c>
      <c r="J56" s="15" t="s">
        <v>36</v>
      </c>
      <c r="K56" s="72">
        <v>50000</v>
      </c>
      <c r="L56" s="72">
        <v>50000</v>
      </c>
      <c r="M56" s="16"/>
      <c r="N56" s="44" t="s">
        <v>172</v>
      </c>
    </row>
    <row r="57" spans="1:14" ht="15" customHeight="1" x14ac:dyDescent="0.25">
      <c r="A57" s="36">
        <f t="shared" si="1"/>
        <v>5029902000</v>
      </c>
      <c r="B57" s="48" t="s">
        <v>166</v>
      </c>
      <c r="C57" s="61">
        <v>5029902000</v>
      </c>
      <c r="D57" s="55" t="s">
        <v>145</v>
      </c>
      <c r="E57" s="13" t="s">
        <v>39</v>
      </c>
      <c r="F57" s="39">
        <v>46023</v>
      </c>
      <c r="G57" s="39"/>
      <c r="H57" s="14"/>
      <c r="I57" s="39">
        <v>46357</v>
      </c>
      <c r="J57" s="15" t="s">
        <v>36</v>
      </c>
      <c r="K57" s="72">
        <v>10000</v>
      </c>
      <c r="L57" s="72">
        <v>10000</v>
      </c>
      <c r="M57" s="16"/>
      <c r="N57" s="44" t="s">
        <v>172</v>
      </c>
    </row>
    <row r="58" spans="1:14" ht="15" customHeight="1" x14ac:dyDescent="0.25">
      <c r="A58" s="36" t="str">
        <f t="shared" si="1"/>
        <v>5020399000</v>
      </c>
      <c r="B58" s="48" t="s">
        <v>167</v>
      </c>
      <c r="C58" s="61" t="s">
        <v>84</v>
      </c>
      <c r="D58" s="55" t="s">
        <v>145</v>
      </c>
      <c r="E58" s="13" t="s">
        <v>39</v>
      </c>
      <c r="F58" s="39">
        <v>46023</v>
      </c>
      <c r="G58" s="39"/>
      <c r="H58" s="14"/>
      <c r="I58" s="39">
        <v>46357</v>
      </c>
      <c r="J58" s="15" t="s">
        <v>36</v>
      </c>
      <c r="K58" s="72">
        <v>40000</v>
      </c>
      <c r="L58" s="72">
        <v>40000</v>
      </c>
      <c r="M58" s="16"/>
      <c r="N58" s="44" t="s">
        <v>172</v>
      </c>
    </row>
    <row r="59" spans="1:14" ht="15" customHeight="1" x14ac:dyDescent="0.25">
      <c r="A59" s="36" t="str">
        <f t="shared" si="1"/>
        <v>5029903000</v>
      </c>
      <c r="B59" s="48" t="s">
        <v>169</v>
      </c>
      <c r="C59" s="61" t="s">
        <v>90</v>
      </c>
      <c r="D59" s="55" t="s">
        <v>168</v>
      </c>
      <c r="E59" s="13" t="s">
        <v>39</v>
      </c>
      <c r="F59" s="39">
        <v>46023</v>
      </c>
      <c r="G59" s="39"/>
      <c r="H59" s="14"/>
      <c r="I59" s="39">
        <v>46357</v>
      </c>
      <c r="J59" s="15" t="s">
        <v>36</v>
      </c>
      <c r="K59" s="72">
        <v>32500</v>
      </c>
      <c r="L59" s="72">
        <v>32500</v>
      </c>
      <c r="M59" s="16"/>
      <c r="N59" s="44" t="s">
        <v>172</v>
      </c>
    </row>
    <row r="60" spans="1:14" ht="27.6" x14ac:dyDescent="0.25">
      <c r="A60" s="36" t="str">
        <f t="shared" si="1"/>
        <v>5029902000</v>
      </c>
      <c r="B60" s="48" t="s">
        <v>170</v>
      </c>
      <c r="C60" s="61" t="s">
        <v>89</v>
      </c>
      <c r="D60" s="55" t="s">
        <v>168</v>
      </c>
      <c r="E60" s="13" t="s">
        <v>39</v>
      </c>
      <c r="F60" s="39">
        <v>46023</v>
      </c>
      <c r="G60" s="39"/>
      <c r="H60" s="14"/>
      <c r="I60" s="39">
        <v>46357</v>
      </c>
      <c r="J60" s="15" t="s">
        <v>36</v>
      </c>
      <c r="K60" s="72">
        <v>2600</v>
      </c>
      <c r="L60" s="72">
        <v>2600</v>
      </c>
      <c r="M60" s="16"/>
      <c r="N60" s="44" t="s">
        <v>173</v>
      </c>
    </row>
    <row r="61" spans="1:14" ht="27.6" x14ac:dyDescent="0.25">
      <c r="A61" s="36" t="str">
        <f t="shared" si="1"/>
        <v>5020399000</v>
      </c>
      <c r="B61" s="48" t="s">
        <v>171</v>
      </c>
      <c r="C61" s="61" t="s">
        <v>84</v>
      </c>
      <c r="D61" s="55" t="s">
        <v>168</v>
      </c>
      <c r="E61" s="13" t="s">
        <v>39</v>
      </c>
      <c r="F61" s="39">
        <v>46023</v>
      </c>
      <c r="G61" s="39"/>
      <c r="H61" s="14"/>
      <c r="I61" s="39">
        <v>46357</v>
      </c>
      <c r="J61" s="15" t="s">
        <v>36</v>
      </c>
      <c r="K61" s="72">
        <v>10000</v>
      </c>
      <c r="L61" s="72">
        <v>10000</v>
      </c>
      <c r="M61" s="16"/>
      <c r="N61" s="44" t="s">
        <v>174</v>
      </c>
    </row>
    <row r="62" spans="1:14" ht="27.6" x14ac:dyDescent="0.25">
      <c r="A62" s="36">
        <f t="shared" si="1"/>
        <v>5029902000</v>
      </c>
      <c r="B62" s="38" t="s">
        <v>175</v>
      </c>
      <c r="C62" s="61">
        <v>5029902000</v>
      </c>
      <c r="D62" s="53" t="s">
        <v>188</v>
      </c>
      <c r="E62" s="13" t="s">
        <v>70</v>
      </c>
      <c r="F62" s="39">
        <v>46023</v>
      </c>
      <c r="G62" s="39"/>
      <c r="H62" s="14"/>
      <c r="I62" s="39">
        <v>46357</v>
      </c>
      <c r="J62" s="15" t="s">
        <v>36</v>
      </c>
      <c r="K62" s="45">
        <v>2000</v>
      </c>
      <c r="L62" s="45">
        <v>2000</v>
      </c>
      <c r="M62" s="16"/>
      <c r="N62" s="17"/>
    </row>
    <row r="63" spans="1:14" ht="27.6" x14ac:dyDescent="0.25">
      <c r="A63" s="36" t="str">
        <f t="shared" si="1"/>
        <v>5020399000</v>
      </c>
      <c r="B63" s="38" t="s">
        <v>176</v>
      </c>
      <c r="C63" s="61" t="s">
        <v>84</v>
      </c>
      <c r="D63" s="53" t="s">
        <v>188</v>
      </c>
      <c r="E63" s="13" t="s">
        <v>35</v>
      </c>
      <c r="F63" s="39">
        <v>46023</v>
      </c>
      <c r="G63" s="39"/>
      <c r="H63" s="14"/>
      <c r="I63" s="39">
        <v>46357</v>
      </c>
      <c r="J63" s="15" t="s">
        <v>36</v>
      </c>
      <c r="K63" s="46">
        <f>SUM('[1]PPMP Template'!$F$52+'[1]PPMP Template'!$F$122)</f>
        <v>65952</v>
      </c>
      <c r="L63" s="46">
        <f>SUM('[1]PPMP Template'!$F$52+'[1]PPMP Template'!$F$122)</f>
        <v>65952</v>
      </c>
      <c r="M63" s="16"/>
      <c r="N63" s="17"/>
    </row>
    <row r="64" spans="1:14" ht="27.6" x14ac:dyDescent="0.25">
      <c r="A64" s="36" t="str">
        <f t="shared" si="1"/>
        <v>5029902000</v>
      </c>
      <c r="B64" s="38" t="s">
        <v>177</v>
      </c>
      <c r="C64" s="61" t="s">
        <v>89</v>
      </c>
      <c r="D64" s="53" t="s">
        <v>188</v>
      </c>
      <c r="E64" s="13" t="s">
        <v>45</v>
      </c>
      <c r="F64" s="39">
        <v>46023</v>
      </c>
      <c r="G64" s="39"/>
      <c r="H64" s="14"/>
      <c r="I64" s="39">
        <v>46357</v>
      </c>
      <c r="J64" s="15" t="s">
        <v>36</v>
      </c>
      <c r="K64" s="46">
        <f>SUM('[1]PPMP Template'!$F$99)</f>
        <v>18000</v>
      </c>
      <c r="L64" s="46">
        <f>SUM('[1]PPMP Template'!$F$99)</f>
        <v>18000</v>
      </c>
      <c r="M64" s="16"/>
      <c r="N64" s="17"/>
    </row>
    <row r="65" spans="1:14" ht="27.6" x14ac:dyDescent="0.25">
      <c r="A65" s="36" t="str">
        <f t="shared" si="1"/>
        <v>5020399000</v>
      </c>
      <c r="B65" s="38" t="s">
        <v>178</v>
      </c>
      <c r="C65" s="61" t="s">
        <v>84</v>
      </c>
      <c r="D65" s="53" t="s">
        <v>188</v>
      </c>
      <c r="E65" s="13" t="s">
        <v>35</v>
      </c>
      <c r="F65" s="39">
        <v>46023</v>
      </c>
      <c r="G65" s="39"/>
      <c r="H65" s="14"/>
      <c r="I65" s="39">
        <v>46357</v>
      </c>
      <c r="J65" s="15" t="s">
        <v>36</v>
      </c>
      <c r="K65" s="46">
        <f>SUM('[1]PPMP Template'!$F$15+'[1]PPMP Template'!$F$16+'[1]PPMP Template'!$F$53+'[1]PPMP Template'!$F$54+'[1]PPMP Template'!$F$55+'[1]PPMP Template'!$F$56+'[1]PPMP Template'!$F$93)</f>
        <v>92212</v>
      </c>
      <c r="L65" s="46">
        <f>SUM('[1]PPMP Template'!$F$15+'[1]PPMP Template'!$F$16+'[1]PPMP Template'!$F$53+'[1]PPMP Template'!$F$54+'[1]PPMP Template'!$F$55+'[1]PPMP Template'!$F$56+'[1]PPMP Template'!$F$93)</f>
        <v>92212</v>
      </c>
      <c r="M65" s="16"/>
      <c r="N65" s="17"/>
    </row>
    <row r="66" spans="1:14" ht="27.6" x14ac:dyDescent="0.25">
      <c r="A66" s="36" t="str">
        <f t="shared" si="1"/>
        <v>5020399000</v>
      </c>
      <c r="B66" s="38" t="s">
        <v>179</v>
      </c>
      <c r="C66" s="61" t="s">
        <v>84</v>
      </c>
      <c r="D66" s="53" t="s">
        <v>188</v>
      </c>
      <c r="E66" s="13" t="s">
        <v>35</v>
      </c>
      <c r="F66" s="39">
        <v>46023</v>
      </c>
      <c r="G66" s="39"/>
      <c r="H66" s="14"/>
      <c r="I66" s="39">
        <v>46357</v>
      </c>
      <c r="J66" s="15" t="s">
        <v>36</v>
      </c>
      <c r="K66" s="46">
        <v>52000</v>
      </c>
      <c r="L66" s="46">
        <v>52000</v>
      </c>
      <c r="M66" s="16"/>
      <c r="N66" s="17"/>
    </row>
    <row r="67" spans="1:14" ht="27.6" x14ac:dyDescent="0.25">
      <c r="A67" s="36" t="str">
        <f t="shared" si="1"/>
        <v>5020399000</v>
      </c>
      <c r="B67" s="38" t="s">
        <v>180</v>
      </c>
      <c r="C67" s="61" t="s">
        <v>84</v>
      </c>
      <c r="D67" s="53" t="s">
        <v>188</v>
      </c>
      <c r="E67" s="13" t="s">
        <v>35</v>
      </c>
      <c r="F67" s="39">
        <v>46023</v>
      </c>
      <c r="G67" s="39"/>
      <c r="H67" s="14"/>
      <c r="I67" s="39">
        <v>46357</v>
      </c>
      <c r="J67" s="15" t="s">
        <v>36</v>
      </c>
      <c r="K67" s="46">
        <v>11988</v>
      </c>
      <c r="L67" s="46">
        <v>11988</v>
      </c>
      <c r="M67" s="16"/>
      <c r="N67" s="17"/>
    </row>
    <row r="68" spans="1:14" ht="27.6" x14ac:dyDescent="0.25">
      <c r="A68" s="36" t="str">
        <f t="shared" si="1"/>
        <v>5020399000</v>
      </c>
      <c r="B68" s="38" t="s">
        <v>181</v>
      </c>
      <c r="C68" s="61" t="s">
        <v>84</v>
      </c>
      <c r="D68" s="53" t="s">
        <v>188</v>
      </c>
      <c r="E68" s="13" t="s">
        <v>70</v>
      </c>
      <c r="F68" s="39">
        <v>46023</v>
      </c>
      <c r="G68" s="39"/>
      <c r="H68" s="14"/>
      <c r="I68" s="39">
        <v>46357</v>
      </c>
      <c r="J68" s="15" t="s">
        <v>36</v>
      </c>
      <c r="K68" s="46">
        <f>SUM('[1]PPMP Template'!$F$58+'[1]PPMP Template'!$F$59+'[1]PPMP Template'!$F$60)</f>
        <v>19008</v>
      </c>
      <c r="L68" s="46">
        <f>SUM('[1]PPMP Template'!$F$58+'[1]PPMP Template'!$F$59+'[1]PPMP Template'!$F$60)</f>
        <v>19008</v>
      </c>
      <c r="M68" s="16"/>
      <c r="N68" s="17"/>
    </row>
    <row r="69" spans="1:14" ht="41.4" x14ac:dyDescent="0.25">
      <c r="A69" s="36" t="str">
        <f t="shared" si="1"/>
        <v>5020399000</v>
      </c>
      <c r="B69" s="38" t="s">
        <v>182</v>
      </c>
      <c r="C69" s="61" t="s">
        <v>84</v>
      </c>
      <c r="D69" s="53" t="s">
        <v>188</v>
      </c>
      <c r="E69" s="13" t="s">
        <v>70</v>
      </c>
      <c r="F69" s="39">
        <v>46023</v>
      </c>
      <c r="G69" s="39"/>
      <c r="H69" s="14"/>
      <c r="I69" s="39">
        <v>46357</v>
      </c>
      <c r="J69" s="15" t="s">
        <v>36</v>
      </c>
      <c r="K69" s="46">
        <v>14513.4</v>
      </c>
      <c r="L69" s="46">
        <v>14513.4</v>
      </c>
      <c r="M69" s="16"/>
      <c r="N69" s="17"/>
    </row>
    <row r="70" spans="1:14" ht="27.6" x14ac:dyDescent="0.25">
      <c r="A70" s="36" t="str">
        <f t="shared" si="1"/>
        <v>5029905001</v>
      </c>
      <c r="B70" s="38" t="s">
        <v>183</v>
      </c>
      <c r="C70" s="61" t="s">
        <v>91</v>
      </c>
      <c r="D70" s="53" t="s">
        <v>188</v>
      </c>
      <c r="E70" s="13" t="s">
        <v>59</v>
      </c>
      <c r="F70" s="39">
        <v>46023</v>
      </c>
      <c r="G70" s="39"/>
      <c r="H70" s="14"/>
      <c r="I70" s="39">
        <v>46357</v>
      </c>
      <c r="J70" s="15" t="s">
        <v>36</v>
      </c>
      <c r="K70" s="46">
        <v>2160000</v>
      </c>
      <c r="L70" s="46">
        <v>2160000</v>
      </c>
      <c r="M70" s="16"/>
      <c r="N70" s="17"/>
    </row>
    <row r="71" spans="1:14" ht="41.4" x14ac:dyDescent="0.25">
      <c r="A71" s="36" t="str">
        <f t="shared" ref="A71:A134" si="2">C71</f>
        <v>5020308000</v>
      </c>
      <c r="B71" s="38" t="s">
        <v>184</v>
      </c>
      <c r="C71" s="61" t="s">
        <v>77</v>
      </c>
      <c r="D71" s="53" t="s">
        <v>188</v>
      </c>
      <c r="E71" s="13" t="s">
        <v>70</v>
      </c>
      <c r="F71" s="39">
        <v>46023</v>
      </c>
      <c r="G71" s="39"/>
      <c r="H71" s="14"/>
      <c r="I71" s="39">
        <v>46357</v>
      </c>
      <c r="J71" s="15" t="s">
        <v>36</v>
      </c>
      <c r="K71" s="46">
        <v>127914</v>
      </c>
      <c r="L71" s="46">
        <v>127914</v>
      </c>
      <c r="M71" s="16"/>
      <c r="N71" s="17"/>
    </row>
    <row r="72" spans="1:14" ht="27.6" x14ac:dyDescent="0.25">
      <c r="A72" s="36" t="str">
        <f t="shared" si="2"/>
        <v>5020399000</v>
      </c>
      <c r="B72" s="38" t="s">
        <v>185</v>
      </c>
      <c r="C72" s="61" t="s">
        <v>84</v>
      </c>
      <c r="D72" s="53" t="s">
        <v>188</v>
      </c>
      <c r="E72" s="13" t="s">
        <v>70</v>
      </c>
      <c r="F72" s="39">
        <v>46023</v>
      </c>
      <c r="G72" s="39"/>
      <c r="H72" s="14"/>
      <c r="I72" s="39">
        <v>46357</v>
      </c>
      <c r="J72" s="15" t="s">
        <v>36</v>
      </c>
      <c r="K72" s="46">
        <v>64797.599999999999</v>
      </c>
      <c r="L72" s="46">
        <v>64797.599999999999</v>
      </c>
      <c r="M72" s="16"/>
      <c r="N72" s="17"/>
    </row>
    <row r="73" spans="1:14" ht="41.4" x14ac:dyDescent="0.25">
      <c r="A73" s="36" t="str">
        <f t="shared" si="2"/>
        <v>5020301000</v>
      </c>
      <c r="B73" s="38" t="s">
        <v>186</v>
      </c>
      <c r="C73" s="61" t="s">
        <v>74</v>
      </c>
      <c r="D73" s="53" t="s">
        <v>188</v>
      </c>
      <c r="E73" s="13" t="s">
        <v>70</v>
      </c>
      <c r="F73" s="39">
        <v>46023</v>
      </c>
      <c r="G73" s="39"/>
      <c r="H73" s="14"/>
      <c r="I73" s="39">
        <v>46357</v>
      </c>
      <c r="J73" s="15" t="s">
        <v>36</v>
      </c>
      <c r="K73" s="46">
        <v>160243.28</v>
      </c>
      <c r="L73" s="46">
        <v>160243.28</v>
      </c>
      <c r="M73" s="16"/>
      <c r="N73" s="17"/>
    </row>
    <row r="74" spans="1:14" ht="27.6" x14ac:dyDescent="0.25">
      <c r="A74" s="36" t="str">
        <f t="shared" si="2"/>
        <v>5029907000</v>
      </c>
      <c r="B74" s="38" t="s">
        <v>187</v>
      </c>
      <c r="C74" s="61" t="s">
        <v>92</v>
      </c>
      <c r="D74" s="53" t="s">
        <v>188</v>
      </c>
      <c r="E74" s="13" t="s">
        <v>45</v>
      </c>
      <c r="F74" s="39">
        <v>46023</v>
      </c>
      <c r="G74" s="39"/>
      <c r="H74" s="14"/>
      <c r="I74" s="39">
        <v>46357</v>
      </c>
      <c r="J74" s="15" t="s">
        <v>36</v>
      </c>
      <c r="K74" s="46">
        <v>24000</v>
      </c>
      <c r="L74" s="46">
        <v>24000</v>
      </c>
      <c r="M74" s="16"/>
      <c r="N74" s="17"/>
    </row>
    <row r="75" spans="1:14" ht="29.25" customHeight="1" x14ac:dyDescent="0.25">
      <c r="A75" s="36" t="str">
        <f t="shared" si="2"/>
        <v>5020399000</v>
      </c>
      <c r="B75" s="60" t="s">
        <v>189</v>
      </c>
      <c r="C75" s="35" t="s">
        <v>84</v>
      </c>
      <c r="D75" s="53" t="s">
        <v>188</v>
      </c>
      <c r="E75" s="13" t="s">
        <v>39</v>
      </c>
      <c r="F75" s="39">
        <v>46023</v>
      </c>
      <c r="G75" s="39"/>
      <c r="H75" s="14"/>
      <c r="I75" s="39">
        <v>46357</v>
      </c>
      <c r="J75" s="15" t="s">
        <v>36</v>
      </c>
      <c r="K75" s="47">
        <v>92200</v>
      </c>
      <c r="L75" s="47">
        <v>92200</v>
      </c>
      <c r="M75" s="16"/>
      <c r="N75" s="17"/>
    </row>
    <row r="76" spans="1:14" ht="41.4" x14ac:dyDescent="0.25">
      <c r="A76" s="36" t="str">
        <f t="shared" si="2"/>
        <v>5020310000</v>
      </c>
      <c r="B76" s="38" t="s">
        <v>190</v>
      </c>
      <c r="C76" s="61" t="s">
        <v>79</v>
      </c>
      <c r="D76" s="56" t="s">
        <v>205</v>
      </c>
      <c r="E76" s="13" t="s">
        <v>70</v>
      </c>
      <c r="F76" s="39">
        <v>46023</v>
      </c>
      <c r="G76" s="39"/>
      <c r="H76" s="14"/>
      <c r="I76" s="39">
        <v>46357</v>
      </c>
      <c r="J76" s="15" t="s">
        <v>36</v>
      </c>
      <c r="K76" s="46">
        <v>23900</v>
      </c>
      <c r="L76" s="46">
        <v>23900</v>
      </c>
      <c r="M76" s="16"/>
      <c r="N76" s="17"/>
    </row>
    <row r="77" spans="1:14" ht="41.4" x14ac:dyDescent="0.25">
      <c r="A77" s="36" t="str">
        <f t="shared" si="2"/>
        <v>5020321004</v>
      </c>
      <c r="B77" s="38" t="s">
        <v>191</v>
      </c>
      <c r="C77" s="61" t="s">
        <v>83</v>
      </c>
      <c r="D77" s="56" t="s">
        <v>205</v>
      </c>
      <c r="E77" s="13" t="s">
        <v>70</v>
      </c>
      <c r="F77" s="39">
        <v>46023</v>
      </c>
      <c r="G77" s="39"/>
      <c r="H77" s="14"/>
      <c r="I77" s="39">
        <v>46357</v>
      </c>
      <c r="J77" s="15" t="s">
        <v>36</v>
      </c>
      <c r="K77" s="46">
        <v>9950</v>
      </c>
      <c r="L77" s="46">
        <v>9950</v>
      </c>
      <c r="M77" s="16"/>
      <c r="N77" s="17"/>
    </row>
    <row r="78" spans="1:14" ht="27.6" x14ac:dyDescent="0.25">
      <c r="A78" s="36" t="str">
        <f t="shared" si="2"/>
        <v>5020321002</v>
      </c>
      <c r="B78" s="38" t="s">
        <v>192</v>
      </c>
      <c r="C78" s="61" t="s">
        <v>82</v>
      </c>
      <c r="D78" s="56" t="s">
        <v>205</v>
      </c>
      <c r="E78" s="13" t="s">
        <v>70</v>
      </c>
      <c r="F78" s="39">
        <v>46023</v>
      </c>
      <c r="G78" s="39"/>
      <c r="H78" s="14"/>
      <c r="I78" s="39">
        <v>46357</v>
      </c>
      <c r="J78" s="15" t="s">
        <v>36</v>
      </c>
      <c r="K78" s="46">
        <v>165800</v>
      </c>
      <c r="L78" s="46">
        <v>165800</v>
      </c>
      <c r="M78" s="16"/>
      <c r="N78" s="17"/>
    </row>
    <row r="79" spans="1:14" ht="27.6" x14ac:dyDescent="0.25">
      <c r="A79" s="36" t="str">
        <f t="shared" si="2"/>
        <v>5020399000</v>
      </c>
      <c r="B79" s="38" t="s">
        <v>193</v>
      </c>
      <c r="C79" s="61" t="s">
        <v>84</v>
      </c>
      <c r="D79" s="56" t="s">
        <v>205</v>
      </c>
      <c r="E79" s="13" t="s">
        <v>70</v>
      </c>
      <c r="F79" s="39">
        <v>46023</v>
      </c>
      <c r="G79" s="39"/>
      <c r="H79" s="14"/>
      <c r="I79" s="39">
        <v>46357</v>
      </c>
      <c r="J79" s="15" t="s">
        <v>36</v>
      </c>
      <c r="K79" s="46">
        <v>40000</v>
      </c>
      <c r="L79" s="46">
        <v>40000</v>
      </c>
      <c r="M79" s="16"/>
      <c r="N79" s="17"/>
    </row>
    <row r="80" spans="1:14" ht="27.6" x14ac:dyDescent="0.25">
      <c r="A80" s="36" t="str">
        <f t="shared" si="2"/>
        <v>5020313000</v>
      </c>
      <c r="B80" s="38" t="s">
        <v>194</v>
      </c>
      <c r="C80" s="35" t="s">
        <v>81</v>
      </c>
      <c r="D80" s="56" t="s">
        <v>205</v>
      </c>
      <c r="E80" s="13" t="s">
        <v>70</v>
      </c>
      <c r="F80" s="39">
        <v>46023</v>
      </c>
      <c r="G80" s="39"/>
      <c r="H80" s="14"/>
      <c r="I80" s="39">
        <v>46357</v>
      </c>
      <c r="J80" s="15" t="s">
        <v>36</v>
      </c>
      <c r="K80" s="46">
        <v>60344</v>
      </c>
      <c r="L80" s="46">
        <v>60344</v>
      </c>
      <c r="M80" s="16"/>
      <c r="N80" s="17"/>
    </row>
    <row r="81" spans="1:14" ht="27.6" x14ac:dyDescent="0.25">
      <c r="A81" s="36" t="str">
        <f t="shared" si="2"/>
        <v>5021308004</v>
      </c>
      <c r="B81" s="38" t="s">
        <v>195</v>
      </c>
      <c r="C81" s="35" t="s">
        <v>87</v>
      </c>
      <c r="D81" s="56" t="s">
        <v>205</v>
      </c>
      <c r="E81" s="13" t="s">
        <v>70</v>
      </c>
      <c r="F81" s="39">
        <v>46023</v>
      </c>
      <c r="G81" s="39"/>
      <c r="H81" s="14"/>
      <c r="I81" s="39">
        <v>46357</v>
      </c>
      <c r="J81" s="15" t="s">
        <v>36</v>
      </c>
      <c r="K81" s="46">
        <v>427394</v>
      </c>
      <c r="L81" s="46">
        <v>427394</v>
      </c>
      <c r="M81" s="16"/>
      <c r="N81" s="17"/>
    </row>
    <row r="82" spans="1:14" ht="27.6" x14ac:dyDescent="0.25">
      <c r="A82" s="36" t="str">
        <f t="shared" si="2"/>
        <v>5029902000</v>
      </c>
      <c r="B82" s="38" t="s">
        <v>196</v>
      </c>
      <c r="C82" s="61" t="s">
        <v>89</v>
      </c>
      <c r="D82" s="56" t="s">
        <v>205</v>
      </c>
      <c r="E82" s="13" t="s">
        <v>70</v>
      </c>
      <c r="F82" s="39">
        <v>46023</v>
      </c>
      <c r="G82" s="39"/>
      <c r="H82" s="14"/>
      <c r="I82" s="39">
        <v>46357</v>
      </c>
      <c r="J82" s="15" t="s">
        <v>36</v>
      </c>
      <c r="K82" s="46">
        <v>362880</v>
      </c>
      <c r="L82" s="46">
        <v>362880</v>
      </c>
      <c r="M82" s="16"/>
      <c r="N82" s="17"/>
    </row>
    <row r="83" spans="1:14" ht="41.4" x14ac:dyDescent="0.25">
      <c r="A83" s="36" t="str">
        <f t="shared" si="2"/>
        <v>5020399000</v>
      </c>
      <c r="B83" s="38" t="s">
        <v>197</v>
      </c>
      <c r="C83" s="61" t="s">
        <v>84</v>
      </c>
      <c r="D83" s="56" t="s">
        <v>205</v>
      </c>
      <c r="E83" s="13" t="s">
        <v>70</v>
      </c>
      <c r="F83" s="39">
        <v>46023</v>
      </c>
      <c r="G83" s="39"/>
      <c r="H83" s="14"/>
      <c r="I83" s="39">
        <v>46357</v>
      </c>
      <c r="J83" s="15" t="s">
        <v>36</v>
      </c>
      <c r="K83" s="46">
        <v>103000</v>
      </c>
      <c r="L83" s="46">
        <v>103000</v>
      </c>
      <c r="M83" s="16"/>
      <c r="N83" s="17"/>
    </row>
    <row r="84" spans="1:14" ht="27.6" x14ac:dyDescent="0.25">
      <c r="A84" s="36" t="str">
        <f t="shared" si="2"/>
        <v>5020399000</v>
      </c>
      <c r="B84" s="38" t="s">
        <v>198</v>
      </c>
      <c r="C84" s="61" t="s">
        <v>84</v>
      </c>
      <c r="D84" s="56" t="s">
        <v>205</v>
      </c>
      <c r="E84" s="13" t="s">
        <v>35</v>
      </c>
      <c r="F84" s="39">
        <v>46023</v>
      </c>
      <c r="G84" s="39"/>
      <c r="H84" s="14"/>
      <c r="I84" s="39">
        <v>46357</v>
      </c>
      <c r="J84" s="15" t="s">
        <v>36</v>
      </c>
      <c r="K84" s="46">
        <v>131882</v>
      </c>
      <c r="L84" s="46">
        <v>131882</v>
      </c>
      <c r="M84" s="16"/>
      <c r="N84" s="17"/>
    </row>
    <row r="85" spans="1:14" ht="41.4" x14ac:dyDescent="0.25">
      <c r="A85" s="36" t="str">
        <f t="shared" si="2"/>
        <v>5020399000</v>
      </c>
      <c r="B85" s="38" t="s">
        <v>199</v>
      </c>
      <c r="C85" s="61" t="s">
        <v>84</v>
      </c>
      <c r="D85" s="56" t="s">
        <v>205</v>
      </c>
      <c r="E85" s="13" t="s">
        <v>70</v>
      </c>
      <c r="F85" s="39">
        <v>46023</v>
      </c>
      <c r="G85" s="39"/>
      <c r="H85" s="14"/>
      <c r="I85" s="39">
        <v>46357</v>
      </c>
      <c r="J85" s="15" t="s">
        <v>36</v>
      </c>
      <c r="K85" s="46">
        <v>5924</v>
      </c>
      <c r="L85" s="46">
        <v>5924</v>
      </c>
      <c r="M85" s="16"/>
      <c r="N85" s="17"/>
    </row>
    <row r="86" spans="1:14" ht="41.4" x14ac:dyDescent="0.25">
      <c r="A86" s="36" t="str">
        <f t="shared" si="2"/>
        <v>5020308000</v>
      </c>
      <c r="B86" s="38" t="s">
        <v>200</v>
      </c>
      <c r="C86" s="61" t="s">
        <v>77</v>
      </c>
      <c r="D86" s="56" t="s">
        <v>205</v>
      </c>
      <c r="E86" s="13" t="s">
        <v>70</v>
      </c>
      <c r="F86" s="39">
        <v>46023</v>
      </c>
      <c r="G86" s="39"/>
      <c r="H86" s="14"/>
      <c r="I86" s="39">
        <v>46357</v>
      </c>
      <c r="J86" s="15" t="s">
        <v>36</v>
      </c>
      <c r="K86" s="46">
        <v>13600</v>
      </c>
      <c r="L86" s="46">
        <v>13600</v>
      </c>
      <c r="M86" s="16"/>
      <c r="N86" s="17"/>
    </row>
    <row r="87" spans="1:14" ht="41.4" x14ac:dyDescent="0.25">
      <c r="A87" s="36" t="str">
        <f t="shared" si="2"/>
        <v>5020301000</v>
      </c>
      <c r="B87" s="38" t="s">
        <v>201</v>
      </c>
      <c r="C87" s="61" t="s">
        <v>74</v>
      </c>
      <c r="D87" s="56" t="s">
        <v>205</v>
      </c>
      <c r="E87" s="13" t="s">
        <v>35</v>
      </c>
      <c r="F87" s="39">
        <v>46023</v>
      </c>
      <c r="G87" s="39"/>
      <c r="H87" s="14"/>
      <c r="I87" s="39">
        <v>46357</v>
      </c>
      <c r="J87" s="15" t="s">
        <v>36</v>
      </c>
      <c r="K87" s="46">
        <f>142890+350</f>
        <v>143240</v>
      </c>
      <c r="L87" s="46">
        <f>142890+350</f>
        <v>143240</v>
      </c>
      <c r="M87" s="16"/>
      <c r="N87" s="17"/>
    </row>
    <row r="88" spans="1:14" ht="41.4" x14ac:dyDescent="0.25">
      <c r="A88" s="36" t="str">
        <f t="shared" si="2"/>
        <v>5029907000</v>
      </c>
      <c r="B88" s="38" t="s">
        <v>202</v>
      </c>
      <c r="C88" s="61" t="s">
        <v>92</v>
      </c>
      <c r="D88" s="56" t="s">
        <v>205</v>
      </c>
      <c r="E88" s="13" t="s">
        <v>45</v>
      </c>
      <c r="F88" s="39">
        <v>46023</v>
      </c>
      <c r="G88" s="39"/>
      <c r="H88" s="14"/>
      <c r="I88" s="39">
        <v>46357</v>
      </c>
      <c r="J88" s="15" t="s">
        <v>36</v>
      </c>
      <c r="K88" s="46">
        <v>441500</v>
      </c>
      <c r="L88" s="46">
        <v>441500</v>
      </c>
      <c r="M88" s="16"/>
      <c r="N88" s="17"/>
    </row>
    <row r="89" spans="1:14" ht="69" x14ac:dyDescent="0.25">
      <c r="A89" s="36" t="str">
        <f t="shared" si="2"/>
        <v>5020101000</v>
      </c>
      <c r="B89" s="38" t="s">
        <v>203</v>
      </c>
      <c r="C89" s="61" t="s">
        <v>72</v>
      </c>
      <c r="D89" s="56" t="s">
        <v>205</v>
      </c>
      <c r="E89" s="13" t="s">
        <v>70</v>
      </c>
      <c r="F89" s="39">
        <v>46023</v>
      </c>
      <c r="G89" s="39"/>
      <c r="H89" s="14"/>
      <c r="I89" s="39">
        <v>46357</v>
      </c>
      <c r="J89" s="15" t="s">
        <v>36</v>
      </c>
      <c r="K89" s="46">
        <v>644000</v>
      </c>
      <c r="L89" s="46">
        <v>644000</v>
      </c>
      <c r="M89" s="16"/>
      <c r="N89" s="17"/>
    </row>
    <row r="90" spans="1:14" ht="41.4" x14ac:dyDescent="0.25">
      <c r="A90" s="36" t="str">
        <f t="shared" si="2"/>
        <v>5020101000</v>
      </c>
      <c r="B90" s="38" t="s">
        <v>204</v>
      </c>
      <c r="C90" s="61" t="s">
        <v>72</v>
      </c>
      <c r="D90" s="56" t="s">
        <v>205</v>
      </c>
      <c r="E90" s="13" t="s">
        <v>70</v>
      </c>
      <c r="F90" s="39">
        <v>46023</v>
      </c>
      <c r="G90" s="39"/>
      <c r="H90" s="14"/>
      <c r="I90" s="39">
        <v>46357</v>
      </c>
      <c r="J90" s="15" t="s">
        <v>36</v>
      </c>
      <c r="K90" s="41">
        <v>135000</v>
      </c>
      <c r="L90" s="41">
        <v>135000</v>
      </c>
      <c r="M90" s="16"/>
      <c r="N90" s="17"/>
    </row>
    <row r="91" spans="1:14" ht="27.6" x14ac:dyDescent="0.25">
      <c r="A91" s="36" t="str">
        <f t="shared" si="2"/>
        <v>5020309000</v>
      </c>
      <c r="B91" s="38" t="s">
        <v>206</v>
      </c>
      <c r="C91" s="61" t="s">
        <v>78</v>
      </c>
      <c r="D91" s="56" t="s">
        <v>205</v>
      </c>
      <c r="E91" s="13" t="s">
        <v>39</v>
      </c>
      <c r="F91" s="39">
        <v>46023</v>
      </c>
      <c r="G91" s="39"/>
      <c r="H91" s="14"/>
      <c r="I91" s="39">
        <v>46357</v>
      </c>
      <c r="J91" s="15" t="s">
        <v>36</v>
      </c>
      <c r="K91" s="46">
        <v>1950</v>
      </c>
      <c r="L91" s="46">
        <v>1950</v>
      </c>
      <c r="M91" s="16"/>
      <c r="N91" s="17"/>
    </row>
    <row r="92" spans="1:14" s="49" customFormat="1" ht="41.4" x14ac:dyDescent="0.25">
      <c r="A92" s="36" t="str">
        <f t="shared" si="2"/>
        <v>5020321004</v>
      </c>
      <c r="B92" s="38" t="s">
        <v>207</v>
      </c>
      <c r="C92" s="61" t="s">
        <v>83</v>
      </c>
      <c r="D92" s="56" t="s">
        <v>222</v>
      </c>
      <c r="E92" s="13" t="s">
        <v>70</v>
      </c>
      <c r="F92" s="39">
        <v>46023</v>
      </c>
      <c r="G92" s="39"/>
      <c r="H92" s="14"/>
      <c r="I92" s="39">
        <v>46357</v>
      </c>
      <c r="J92" s="15" t="s">
        <v>36</v>
      </c>
      <c r="K92" s="46">
        <v>22000</v>
      </c>
      <c r="L92" s="46">
        <v>22000</v>
      </c>
      <c r="M92" s="66"/>
      <c r="N92" s="67"/>
    </row>
    <row r="93" spans="1:14" s="49" customFormat="1" ht="41.4" x14ac:dyDescent="0.25">
      <c r="A93" s="36" t="str">
        <f t="shared" si="2"/>
        <v>5020309000</v>
      </c>
      <c r="B93" s="38" t="s">
        <v>208</v>
      </c>
      <c r="C93" s="61" t="s">
        <v>78</v>
      </c>
      <c r="D93" s="56" t="s">
        <v>222</v>
      </c>
      <c r="E93" s="13" t="s">
        <v>70</v>
      </c>
      <c r="F93" s="39">
        <v>46023</v>
      </c>
      <c r="G93" s="39"/>
      <c r="H93" s="14"/>
      <c r="I93" s="39">
        <v>46357</v>
      </c>
      <c r="J93" s="15" t="s">
        <v>36</v>
      </c>
      <c r="K93" s="46">
        <v>245750</v>
      </c>
      <c r="L93" s="46">
        <v>245750</v>
      </c>
      <c r="M93" s="66"/>
      <c r="N93" s="67"/>
    </row>
    <row r="94" spans="1:14" s="49" customFormat="1" ht="27.6" x14ac:dyDescent="0.25">
      <c r="A94" s="36" t="str">
        <f t="shared" si="2"/>
        <v>5020321002</v>
      </c>
      <c r="B94" s="38" t="s">
        <v>209</v>
      </c>
      <c r="C94" s="61" t="s">
        <v>82</v>
      </c>
      <c r="D94" s="56" t="s">
        <v>222</v>
      </c>
      <c r="E94" s="13" t="s">
        <v>35</v>
      </c>
      <c r="F94" s="39">
        <v>46023</v>
      </c>
      <c r="G94" s="39"/>
      <c r="H94" s="14"/>
      <c r="I94" s="39">
        <v>46357</v>
      </c>
      <c r="J94" s="15" t="s">
        <v>36</v>
      </c>
      <c r="K94" s="46">
        <v>298973</v>
      </c>
      <c r="L94" s="46">
        <v>298973</v>
      </c>
      <c r="M94" s="66"/>
      <c r="N94" s="67"/>
    </row>
    <row r="95" spans="1:14" s="49" customFormat="1" ht="27.6" x14ac:dyDescent="0.25">
      <c r="A95" s="36" t="str">
        <f t="shared" si="2"/>
        <v>5020399000</v>
      </c>
      <c r="B95" s="38" t="s">
        <v>210</v>
      </c>
      <c r="C95" s="61" t="s">
        <v>84</v>
      </c>
      <c r="D95" s="56" t="s">
        <v>222</v>
      </c>
      <c r="E95" s="13" t="s">
        <v>70</v>
      </c>
      <c r="F95" s="39">
        <v>46023</v>
      </c>
      <c r="G95" s="39"/>
      <c r="H95" s="14"/>
      <c r="I95" s="39">
        <v>46357</v>
      </c>
      <c r="J95" s="15" t="s">
        <v>36</v>
      </c>
      <c r="K95" s="46">
        <v>99650</v>
      </c>
      <c r="L95" s="46">
        <v>99650</v>
      </c>
      <c r="M95" s="66"/>
      <c r="N95" s="67"/>
    </row>
    <row r="96" spans="1:14" s="49" customFormat="1" ht="27.6" x14ac:dyDescent="0.25">
      <c r="A96" s="36" t="str">
        <f t="shared" si="2"/>
        <v>5029902000</v>
      </c>
      <c r="B96" s="38" t="s">
        <v>211</v>
      </c>
      <c r="C96" s="61" t="s">
        <v>89</v>
      </c>
      <c r="D96" s="56" t="s">
        <v>222</v>
      </c>
      <c r="E96" s="13" t="s">
        <v>70</v>
      </c>
      <c r="F96" s="39">
        <v>46023</v>
      </c>
      <c r="G96" s="39"/>
      <c r="H96" s="14"/>
      <c r="I96" s="39">
        <v>46357</v>
      </c>
      <c r="J96" s="15" t="s">
        <v>36</v>
      </c>
      <c r="K96" s="46">
        <v>4316</v>
      </c>
      <c r="L96" s="46">
        <v>4316</v>
      </c>
      <c r="M96" s="66"/>
      <c r="N96" s="67"/>
    </row>
    <row r="97" spans="1:14" s="49" customFormat="1" ht="41.4" x14ac:dyDescent="0.25">
      <c r="A97" s="36" t="str">
        <f t="shared" si="2"/>
        <v>5020311001</v>
      </c>
      <c r="B97" s="38" t="s">
        <v>212</v>
      </c>
      <c r="C97" s="61" t="s">
        <v>80</v>
      </c>
      <c r="D97" s="56" t="s">
        <v>222</v>
      </c>
      <c r="E97" s="13" t="s">
        <v>70</v>
      </c>
      <c r="F97" s="39">
        <v>46023</v>
      </c>
      <c r="G97" s="39"/>
      <c r="H97" s="14"/>
      <c r="I97" s="39">
        <v>46357</v>
      </c>
      <c r="J97" s="15" t="s">
        <v>36</v>
      </c>
      <c r="K97" s="46">
        <v>645800</v>
      </c>
      <c r="L97" s="46">
        <v>645800</v>
      </c>
      <c r="M97" s="66"/>
      <c r="N97" s="67"/>
    </row>
    <row r="98" spans="1:14" s="49" customFormat="1" ht="27.6" x14ac:dyDescent="0.25">
      <c r="A98" s="36" t="str">
        <f t="shared" si="2"/>
        <v>5029902000</v>
      </c>
      <c r="B98" s="38" t="s">
        <v>213</v>
      </c>
      <c r="C98" s="61" t="s">
        <v>89</v>
      </c>
      <c r="D98" s="56" t="s">
        <v>222</v>
      </c>
      <c r="E98" s="13" t="s">
        <v>70</v>
      </c>
      <c r="F98" s="39">
        <v>46023</v>
      </c>
      <c r="G98" s="39"/>
      <c r="H98" s="14"/>
      <c r="I98" s="39">
        <v>46357</v>
      </c>
      <c r="J98" s="15" t="s">
        <v>36</v>
      </c>
      <c r="K98" s="46">
        <v>11600</v>
      </c>
      <c r="L98" s="46">
        <v>11600</v>
      </c>
      <c r="M98" s="66"/>
      <c r="N98" s="67"/>
    </row>
    <row r="99" spans="1:14" s="49" customFormat="1" ht="41.4" x14ac:dyDescent="0.25">
      <c r="A99" s="36" t="str">
        <f t="shared" si="2"/>
        <v>5020399000</v>
      </c>
      <c r="B99" s="38" t="s">
        <v>214</v>
      </c>
      <c r="C99" s="61" t="s">
        <v>84</v>
      </c>
      <c r="D99" s="56" t="s">
        <v>222</v>
      </c>
      <c r="E99" s="13" t="s">
        <v>35</v>
      </c>
      <c r="F99" s="39">
        <v>46023</v>
      </c>
      <c r="G99" s="39"/>
      <c r="H99" s="14"/>
      <c r="I99" s="39">
        <v>46357</v>
      </c>
      <c r="J99" s="15" t="s">
        <v>36</v>
      </c>
      <c r="K99" s="46">
        <v>58556</v>
      </c>
      <c r="L99" s="46">
        <v>58556</v>
      </c>
      <c r="M99" s="66"/>
      <c r="N99" s="67"/>
    </row>
    <row r="100" spans="1:14" s="49" customFormat="1" ht="41.4" x14ac:dyDescent="0.25">
      <c r="A100" s="36" t="str">
        <f t="shared" si="2"/>
        <v>5020399000</v>
      </c>
      <c r="B100" s="38" t="s">
        <v>215</v>
      </c>
      <c r="C100" s="61" t="s">
        <v>84</v>
      </c>
      <c r="D100" s="56" t="s">
        <v>222</v>
      </c>
      <c r="E100" s="13" t="s">
        <v>70</v>
      </c>
      <c r="F100" s="39">
        <v>46023</v>
      </c>
      <c r="G100" s="39"/>
      <c r="H100" s="14"/>
      <c r="I100" s="39">
        <v>46357</v>
      </c>
      <c r="J100" s="15" t="s">
        <v>36</v>
      </c>
      <c r="K100" s="46">
        <v>3468</v>
      </c>
      <c r="L100" s="46">
        <v>3468</v>
      </c>
      <c r="M100" s="66"/>
      <c r="N100" s="67"/>
    </row>
    <row r="101" spans="1:14" s="49" customFormat="1" ht="41.4" x14ac:dyDescent="0.25">
      <c r="A101" s="36" t="str">
        <f t="shared" si="2"/>
        <v>5029905001</v>
      </c>
      <c r="B101" s="38" t="s">
        <v>216</v>
      </c>
      <c r="C101" s="61" t="s">
        <v>91</v>
      </c>
      <c r="D101" s="56" t="s">
        <v>222</v>
      </c>
      <c r="E101" s="13" t="s">
        <v>70</v>
      </c>
      <c r="F101" s="39">
        <v>46023</v>
      </c>
      <c r="G101" s="39"/>
      <c r="H101" s="14"/>
      <c r="I101" s="39">
        <v>46357</v>
      </c>
      <c r="J101" s="15" t="s">
        <v>36</v>
      </c>
      <c r="K101" s="46">
        <v>50000</v>
      </c>
      <c r="L101" s="46">
        <v>50000</v>
      </c>
      <c r="M101" s="66"/>
      <c r="N101" s="67"/>
    </row>
    <row r="102" spans="1:14" s="49" customFormat="1" ht="27.6" x14ac:dyDescent="0.25">
      <c r="A102" s="36" t="str">
        <f t="shared" si="2"/>
        <v>5020308000</v>
      </c>
      <c r="B102" s="38" t="s">
        <v>217</v>
      </c>
      <c r="C102" s="61" t="s">
        <v>77</v>
      </c>
      <c r="D102" s="56" t="s">
        <v>222</v>
      </c>
      <c r="E102" s="13" t="s">
        <v>70</v>
      </c>
      <c r="F102" s="39">
        <v>46023</v>
      </c>
      <c r="G102" s="39"/>
      <c r="H102" s="14"/>
      <c r="I102" s="39">
        <v>46357</v>
      </c>
      <c r="J102" s="15" t="s">
        <v>36</v>
      </c>
      <c r="K102" s="46">
        <v>33590</v>
      </c>
      <c r="L102" s="46">
        <v>33590</v>
      </c>
      <c r="M102" s="66"/>
      <c r="N102" s="67"/>
    </row>
    <row r="103" spans="1:14" s="49" customFormat="1" ht="27.6" x14ac:dyDescent="0.25">
      <c r="A103" s="36" t="str">
        <f t="shared" si="2"/>
        <v>5020399000</v>
      </c>
      <c r="B103" s="38" t="s">
        <v>218</v>
      </c>
      <c r="C103" s="61" t="s">
        <v>84</v>
      </c>
      <c r="D103" s="56" t="s">
        <v>222</v>
      </c>
      <c r="E103" s="13" t="s">
        <v>70</v>
      </c>
      <c r="F103" s="39">
        <v>46023</v>
      </c>
      <c r="G103" s="39"/>
      <c r="H103" s="14"/>
      <c r="I103" s="39">
        <v>46357</v>
      </c>
      <c r="J103" s="15" t="s">
        <v>36</v>
      </c>
      <c r="K103" s="46">
        <v>129032</v>
      </c>
      <c r="L103" s="46">
        <v>129032</v>
      </c>
      <c r="M103" s="66"/>
      <c r="N103" s="67"/>
    </row>
    <row r="104" spans="1:14" s="49" customFormat="1" ht="41.4" x14ac:dyDescent="0.25">
      <c r="A104" s="36" t="str">
        <f t="shared" si="2"/>
        <v>5020301000</v>
      </c>
      <c r="B104" s="38" t="s">
        <v>219</v>
      </c>
      <c r="C104" s="61" t="s">
        <v>74</v>
      </c>
      <c r="D104" s="56" t="s">
        <v>222</v>
      </c>
      <c r="E104" s="13" t="s">
        <v>70</v>
      </c>
      <c r="F104" s="39">
        <v>46023</v>
      </c>
      <c r="G104" s="39"/>
      <c r="H104" s="14"/>
      <c r="I104" s="39">
        <v>46357</v>
      </c>
      <c r="J104" s="15" t="s">
        <v>36</v>
      </c>
      <c r="K104" s="46">
        <f>491962+540</f>
        <v>492502</v>
      </c>
      <c r="L104" s="46">
        <f>491962+540</f>
        <v>492502</v>
      </c>
      <c r="M104" s="66"/>
      <c r="N104" s="67"/>
    </row>
    <row r="105" spans="1:14" s="49" customFormat="1" ht="27.6" x14ac:dyDescent="0.25">
      <c r="A105" s="36" t="str">
        <f t="shared" si="2"/>
        <v>5029902000</v>
      </c>
      <c r="B105" s="38" t="s">
        <v>220</v>
      </c>
      <c r="C105" s="61" t="s">
        <v>89</v>
      </c>
      <c r="D105" s="56" t="s">
        <v>222</v>
      </c>
      <c r="E105" s="13" t="s">
        <v>70</v>
      </c>
      <c r="F105" s="39">
        <v>46023</v>
      </c>
      <c r="G105" s="39"/>
      <c r="H105" s="14"/>
      <c r="I105" s="39">
        <v>46357</v>
      </c>
      <c r="J105" s="15" t="s">
        <v>36</v>
      </c>
      <c r="K105" s="46">
        <v>202000</v>
      </c>
      <c r="L105" s="46">
        <v>202000</v>
      </c>
      <c r="M105" s="66"/>
      <c r="N105" s="67"/>
    </row>
    <row r="106" spans="1:14" s="49" customFormat="1" ht="27.6" x14ac:dyDescent="0.25">
      <c r="A106" s="36" t="str">
        <f t="shared" si="2"/>
        <v>5020399000</v>
      </c>
      <c r="B106" s="38" t="s">
        <v>221</v>
      </c>
      <c r="C106" s="61" t="s">
        <v>84</v>
      </c>
      <c r="D106" s="56" t="s">
        <v>222</v>
      </c>
      <c r="E106" s="13" t="s">
        <v>70</v>
      </c>
      <c r="F106" s="39">
        <v>46023</v>
      </c>
      <c r="G106" s="39"/>
      <c r="H106" s="14"/>
      <c r="I106" s="39">
        <v>46357</v>
      </c>
      <c r="J106" s="15" t="s">
        <v>36</v>
      </c>
      <c r="K106" s="46">
        <v>24950</v>
      </c>
      <c r="L106" s="46">
        <v>24950</v>
      </c>
      <c r="M106" s="66"/>
      <c r="N106" s="67"/>
    </row>
    <row r="107" spans="1:14" ht="27.6" x14ac:dyDescent="0.25">
      <c r="A107" s="36" t="str">
        <f t="shared" si="2"/>
        <v>5020399000</v>
      </c>
      <c r="B107" s="48" t="s">
        <v>223</v>
      </c>
      <c r="C107" s="35" t="s">
        <v>84</v>
      </c>
      <c r="D107" s="56" t="s">
        <v>222</v>
      </c>
      <c r="E107" s="13" t="s">
        <v>39</v>
      </c>
      <c r="F107" s="39">
        <v>46023</v>
      </c>
      <c r="G107" s="39"/>
      <c r="H107" s="14"/>
      <c r="I107" s="39">
        <v>46357</v>
      </c>
      <c r="J107" s="15" t="s">
        <v>36</v>
      </c>
      <c r="K107" s="74">
        <f>36000+20000</f>
        <v>56000</v>
      </c>
      <c r="L107" s="74">
        <f>36000+20000</f>
        <v>56000</v>
      </c>
      <c r="M107" s="16"/>
      <c r="N107" s="17"/>
    </row>
    <row r="108" spans="1:14" s="52" customFormat="1" ht="39.6" x14ac:dyDescent="0.25">
      <c r="A108" s="36" t="str">
        <f t="shared" si="2"/>
        <v>5021305000</v>
      </c>
      <c r="B108" s="51" t="s">
        <v>224</v>
      </c>
      <c r="C108" s="61" t="s">
        <v>86</v>
      </c>
      <c r="D108" s="68" t="s">
        <v>285</v>
      </c>
      <c r="E108" s="63" t="s">
        <v>70</v>
      </c>
      <c r="F108" s="39">
        <v>46023</v>
      </c>
      <c r="G108" s="39"/>
      <c r="H108" s="14"/>
      <c r="I108" s="39">
        <v>46357</v>
      </c>
      <c r="J108" s="64" t="s">
        <v>44</v>
      </c>
      <c r="K108" s="41">
        <v>16200</v>
      </c>
      <c r="L108" s="41">
        <v>16200</v>
      </c>
      <c r="M108" s="62"/>
      <c r="N108" s="65"/>
    </row>
    <row r="109" spans="1:14" s="52" customFormat="1" ht="26.4" x14ac:dyDescent="0.25">
      <c r="A109" s="36" t="str">
        <f t="shared" si="2"/>
        <v>5020301000</v>
      </c>
      <c r="B109" s="51" t="s">
        <v>225</v>
      </c>
      <c r="C109" s="61" t="s">
        <v>74</v>
      </c>
      <c r="D109" s="68" t="s">
        <v>285</v>
      </c>
      <c r="E109" s="63" t="s">
        <v>70</v>
      </c>
      <c r="F109" s="39">
        <v>46023</v>
      </c>
      <c r="G109" s="39"/>
      <c r="H109" s="14"/>
      <c r="I109" s="39">
        <v>46357</v>
      </c>
      <c r="J109" s="64" t="s">
        <v>44</v>
      </c>
      <c r="K109" s="41">
        <v>72500</v>
      </c>
      <c r="L109" s="41">
        <v>72500</v>
      </c>
      <c r="M109" s="62"/>
      <c r="N109" s="65"/>
    </row>
    <row r="110" spans="1:14" s="52" customFormat="1" ht="39.6" x14ac:dyDescent="0.25">
      <c r="A110" s="36" t="str">
        <f t="shared" si="2"/>
        <v>5021601000</v>
      </c>
      <c r="B110" s="51" t="s">
        <v>226</v>
      </c>
      <c r="C110" s="61" t="s">
        <v>88</v>
      </c>
      <c r="D110" s="68" t="s">
        <v>285</v>
      </c>
      <c r="E110" s="63" t="s">
        <v>54</v>
      </c>
      <c r="F110" s="39">
        <v>46023</v>
      </c>
      <c r="G110" s="39"/>
      <c r="H110" s="14"/>
      <c r="I110" s="39">
        <v>46357</v>
      </c>
      <c r="J110" s="64" t="s">
        <v>44</v>
      </c>
      <c r="K110" s="41">
        <v>100000</v>
      </c>
      <c r="L110" s="41">
        <v>100000</v>
      </c>
      <c r="M110" s="62"/>
      <c r="N110" s="65"/>
    </row>
    <row r="111" spans="1:14" s="52" customFormat="1" ht="39.6" x14ac:dyDescent="0.25">
      <c r="A111" s="36" t="str">
        <f t="shared" si="2"/>
        <v>5020201000</v>
      </c>
      <c r="B111" s="51" t="s">
        <v>227</v>
      </c>
      <c r="C111" s="61" t="s">
        <v>73</v>
      </c>
      <c r="D111" s="68" t="s">
        <v>285</v>
      </c>
      <c r="E111" s="63" t="s">
        <v>70</v>
      </c>
      <c r="F111" s="39">
        <v>46023</v>
      </c>
      <c r="G111" s="39"/>
      <c r="H111" s="14"/>
      <c r="I111" s="39">
        <v>46357</v>
      </c>
      <c r="J111" s="64" t="s">
        <v>44</v>
      </c>
      <c r="K111" s="41">
        <v>1250000</v>
      </c>
      <c r="L111" s="41">
        <v>1250000</v>
      </c>
      <c r="M111" s="62"/>
      <c r="N111" s="65"/>
    </row>
    <row r="112" spans="1:14" s="52" customFormat="1" ht="39.6" x14ac:dyDescent="0.25">
      <c r="A112" s="36" t="str">
        <f t="shared" si="2"/>
        <v>5020399000</v>
      </c>
      <c r="B112" s="51" t="s">
        <v>228</v>
      </c>
      <c r="C112" s="61" t="s">
        <v>84</v>
      </c>
      <c r="D112" s="68" t="s">
        <v>285</v>
      </c>
      <c r="E112" s="63" t="s">
        <v>35</v>
      </c>
      <c r="F112" s="39">
        <v>46023</v>
      </c>
      <c r="G112" s="39"/>
      <c r="H112" s="14"/>
      <c r="I112" s="39">
        <v>46357</v>
      </c>
      <c r="J112" s="64" t="s">
        <v>44</v>
      </c>
      <c r="K112" s="41">
        <v>48250</v>
      </c>
      <c r="L112" s="41">
        <v>48250</v>
      </c>
      <c r="M112" s="62"/>
      <c r="N112" s="65"/>
    </row>
    <row r="113" spans="1:14" s="52" customFormat="1" ht="26.4" x14ac:dyDescent="0.25">
      <c r="A113" s="36" t="str">
        <f t="shared" si="2"/>
        <v>5020399000</v>
      </c>
      <c r="B113" s="51" t="s">
        <v>229</v>
      </c>
      <c r="C113" s="61" t="s">
        <v>84</v>
      </c>
      <c r="D113" s="68" t="s">
        <v>285</v>
      </c>
      <c r="E113" s="63" t="s">
        <v>70</v>
      </c>
      <c r="F113" s="39">
        <v>46023</v>
      </c>
      <c r="G113" s="39"/>
      <c r="H113" s="14"/>
      <c r="I113" s="39">
        <v>46357</v>
      </c>
      <c r="J113" s="64" t="s">
        <v>44</v>
      </c>
      <c r="K113" s="41">
        <v>6821</v>
      </c>
      <c r="L113" s="41">
        <v>6821</v>
      </c>
      <c r="M113" s="62"/>
      <c r="N113" s="65"/>
    </row>
    <row r="114" spans="1:14" s="52" customFormat="1" ht="26.4" x14ac:dyDescent="0.25">
      <c r="A114" s="36" t="str">
        <f t="shared" si="2"/>
        <v>5020399000</v>
      </c>
      <c r="B114" s="51" t="s">
        <v>230</v>
      </c>
      <c r="C114" s="61" t="s">
        <v>84</v>
      </c>
      <c r="D114" s="68" t="s">
        <v>285</v>
      </c>
      <c r="E114" s="63" t="s">
        <v>70</v>
      </c>
      <c r="F114" s="39">
        <v>46023</v>
      </c>
      <c r="G114" s="39"/>
      <c r="H114" s="14"/>
      <c r="I114" s="39">
        <v>46357</v>
      </c>
      <c r="J114" s="64" t="s">
        <v>44</v>
      </c>
      <c r="K114" s="41">
        <v>6000</v>
      </c>
      <c r="L114" s="41">
        <v>6000</v>
      </c>
      <c r="M114" s="62"/>
      <c r="N114" s="65"/>
    </row>
    <row r="115" spans="1:14" s="52" customFormat="1" ht="39.6" x14ac:dyDescent="0.25">
      <c r="A115" s="36" t="str">
        <f t="shared" si="2"/>
        <v>5020301000</v>
      </c>
      <c r="B115" s="51" t="s">
        <v>231</v>
      </c>
      <c r="C115" s="61" t="s">
        <v>74</v>
      </c>
      <c r="D115" s="68" t="s">
        <v>285</v>
      </c>
      <c r="E115" s="63" t="s">
        <v>70</v>
      </c>
      <c r="F115" s="39">
        <v>46023</v>
      </c>
      <c r="G115" s="39"/>
      <c r="H115" s="14"/>
      <c r="I115" s="39">
        <v>46357</v>
      </c>
      <c r="J115" s="64" t="s">
        <v>44</v>
      </c>
      <c r="K115" s="41">
        <v>123204</v>
      </c>
      <c r="L115" s="41">
        <v>123204</v>
      </c>
      <c r="M115" s="62"/>
      <c r="N115" s="65"/>
    </row>
    <row r="116" spans="1:14" s="52" customFormat="1" ht="39.6" x14ac:dyDescent="0.25">
      <c r="A116" s="36" t="str">
        <f t="shared" si="2"/>
        <v>5020101000</v>
      </c>
      <c r="B116" s="51" t="s">
        <v>232</v>
      </c>
      <c r="C116" s="61" t="s">
        <v>72</v>
      </c>
      <c r="D116" s="68" t="s">
        <v>285</v>
      </c>
      <c r="E116" s="63" t="s">
        <v>70</v>
      </c>
      <c r="F116" s="39">
        <v>46023</v>
      </c>
      <c r="G116" s="39"/>
      <c r="H116" s="14"/>
      <c r="I116" s="39">
        <v>46357</v>
      </c>
      <c r="J116" s="64" t="s">
        <v>44</v>
      </c>
      <c r="K116" s="41">
        <v>350000</v>
      </c>
      <c r="L116" s="41">
        <v>350000</v>
      </c>
      <c r="M116" s="62"/>
      <c r="N116" s="65"/>
    </row>
    <row r="117" spans="1:14" s="52" customFormat="1" ht="39.6" x14ac:dyDescent="0.25">
      <c r="A117" s="36" t="str">
        <f t="shared" si="2"/>
        <v>5020101000</v>
      </c>
      <c r="B117" s="51" t="s">
        <v>233</v>
      </c>
      <c r="C117" s="61" t="s">
        <v>72</v>
      </c>
      <c r="D117" s="68" t="s">
        <v>285</v>
      </c>
      <c r="E117" s="63" t="s">
        <v>45</v>
      </c>
      <c r="F117" s="39">
        <v>46023</v>
      </c>
      <c r="G117" s="39"/>
      <c r="H117" s="14"/>
      <c r="I117" s="39">
        <v>46357</v>
      </c>
      <c r="J117" s="64" t="s">
        <v>44</v>
      </c>
      <c r="K117" s="41">
        <v>54000</v>
      </c>
      <c r="L117" s="41">
        <v>54000</v>
      </c>
      <c r="M117" s="62"/>
      <c r="N117" s="65"/>
    </row>
    <row r="118" spans="1:14" s="52" customFormat="1" ht="26.4" x14ac:dyDescent="0.25">
      <c r="A118" s="36" t="str">
        <f t="shared" si="2"/>
        <v>5020101000</v>
      </c>
      <c r="B118" s="51" t="s">
        <v>234</v>
      </c>
      <c r="C118" s="61" t="s">
        <v>72</v>
      </c>
      <c r="D118" s="68" t="s">
        <v>285</v>
      </c>
      <c r="E118" s="63" t="s">
        <v>70</v>
      </c>
      <c r="F118" s="39">
        <v>46023</v>
      </c>
      <c r="G118" s="39"/>
      <c r="H118" s="14"/>
      <c r="I118" s="39">
        <v>46357</v>
      </c>
      <c r="J118" s="64" t="s">
        <v>44</v>
      </c>
      <c r="K118" s="41">
        <v>45000</v>
      </c>
      <c r="L118" s="41">
        <v>45000</v>
      </c>
      <c r="M118" s="62"/>
      <c r="N118" s="65"/>
    </row>
    <row r="119" spans="1:14" s="52" customFormat="1" ht="39.6" x14ac:dyDescent="0.25">
      <c r="A119" s="36" t="str">
        <f t="shared" si="2"/>
        <v>5020399000</v>
      </c>
      <c r="B119" s="51" t="s">
        <v>235</v>
      </c>
      <c r="C119" s="61" t="s">
        <v>84</v>
      </c>
      <c r="D119" s="68" t="s">
        <v>285</v>
      </c>
      <c r="E119" s="63" t="s">
        <v>70</v>
      </c>
      <c r="F119" s="39">
        <v>46023</v>
      </c>
      <c r="G119" s="39"/>
      <c r="H119" s="14"/>
      <c r="I119" s="39">
        <v>46357</v>
      </c>
      <c r="J119" s="64" t="s">
        <v>44</v>
      </c>
      <c r="K119" s="41">
        <v>117500</v>
      </c>
      <c r="L119" s="41">
        <v>117500</v>
      </c>
      <c r="M119" s="62"/>
      <c r="N119" s="65"/>
    </row>
    <row r="120" spans="1:14" s="52" customFormat="1" ht="39.6" x14ac:dyDescent="0.25">
      <c r="A120" s="36" t="str">
        <f t="shared" si="2"/>
        <v>5020310000</v>
      </c>
      <c r="B120" s="51" t="s">
        <v>236</v>
      </c>
      <c r="C120" s="61" t="s">
        <v>79</v>
      </c>
      <c r="D120" s="68" t="s">
        <v>285</v>
      </c>
      <c r="E120" s="63" t="s">
        <v>70</v>
      </c>
      <c r="F120" s="39">
        <v>46023</v>
      </c>
      <c r="G120" s="39"/>
      <c r="H120" s="14"/>
      <c r="I120" s="39">
        <v>46357</v>
      </c>
      <c r="J120" s="64" t="s">
        <v>44</v>
      </c>
      <c r="K120" s="41">
        <v>54300</v>
      </c>
      <c r="L120" s="41">
        <v>54300</v>
      </c>
      <c r="M120" s="62"/>
      <c r="N120" s="65"/>
    </row>
    <row r="121" spans="1:14" s="52" customFormat="1" ht="39.6" x14ac:dyDescent="0.25">
      <c r="A121" s="36" t="str">
        <f t="shared" si="2"/>
        <v>5020321004</v>
      </c>
      <c r="B121" s="51" t="s">
        <v>237</v>
      </c>
      <c r="C121" s="61" t="s">
        <v>83</v>
      </c>
      <c r="D121" s="68" t="s">
        <v>285</v>
      </c>
      <c r="E121" s="63" t="s">
        <v>70</v>
      </c>
      <c r="F121" s="39">
        <v>46023</v>
      </c>
      <c r="G121" s="39"/>
      <c r="H121" s="14"/>
      <c r="I121" s="39">
        <v>46357</v>
      </c>
      <c r="J121" s="64" t="s">
        <v>44</v>
      </c>
      <c r="K121" s="41">
        <v>32000</v>
      </c>
      <c r="L121" s="41">
        <v>32000</v>
      </c>
      <c r="M121" s="62"/>
      <c r="N121" s="65"/>
    </row>
    <row r="122" spans="1:14" s="52" customFormat="1" ht="26.4" x14ac:dyDescent="0.25">
      <c r="A122" s="36" t="str">
        <f t="shared" si="2"/>
        <v>5020309000</v>
      </c>
      <c r="B122" s="51" t="s">
        <v>238</v>
      </c>
      <c r="C122" s="61" t="s">
        <v>78</v>
      </c>
      <c r="D122" s="68" t="s">
        <v>285</v>
      </c>
      <c r="E122" s="63" t="s">
        <v>70</v>
      </c>
      <c r="F122" s="39">
        <v>46023</v>
      </c>
      <c r="G122" s="39"/>
      <c r="H122" s="14"/>
      <c r="I122" s="39">
        <v>46357</v>
      </c>
      <c r="J122" s="64" t="s">
        <v>44</v>
      </c>
      <c r="K122" s="41">
        <v>122550</v>
      </c>
      <c r="L122" s="41">
        <v>122550</v>
      </c>
      <c r="M122" s="62"/>
      <c r="N122" s="65"/>
    </row>
    <row r="123" spans="1:14" s="52" customFormat="1" ht="26.4" x14ac:dyDescent="0.25">
      <c r="A123" s="36" t="str">
        <f t="shared" si="2"/>
        <v>5020399000</v>
      </c>
      <c r="B123" s="51" t="s">
        <v>239</v>
      </c>
      <c r="C123" s="61" t="s">
        <v>84</v>
      </c>
      <c r="D123" s="68" t="s">
        <v>285</v>
      </c>
      <c r="E123" s="63" t="s">
        <v>70</v>
      </c>
      <c r="F123" s="39">
        <v>46023</v>
      </c>
      <c r="G123" s="39"/>
      <c r="H123" s="14"/>
      <c r="I123" s="39">
        <v>46357</v>
      </c>
      <c r="J123" s="64" t="s">
        <v>44</v>
      </c>
      <c r="K123" s="41">
        <v>16330</v>
      </c>
      <c r="L123" s="41">
        <v>16330</v>
      </c>
      <c r="M123" s="62"/>
      <c r="N123" s="65"/>
    </row>
    <row r="124" spans="1:14" s="52" customFormat="1" ht="26.4" x14ac:dyDescent="0.25">
      <c r="A124" s="36" t="str">
        <f t="shared" si="2"/>
        <v>5029902000</v>
      </c>
      <c r="B124" s="51" t="s">
        <v>240</v>
      </c>
      <c r="C124" s="61" t="s">
        <v>89</v>
      </c>
      <c r="D124" s="68" t="s">
        <v>285</v>
      </c>
      <c r="E124" s="63" t="s">
        <v>45</v>
      </c>
      <c r="F124" s="39">
        <v>46023</v>
      </c>
      <c r="G124" s="39"/>
      <c r="H124" s="14"/>
      <c r="I124" s="39">
        <v>46357</v>
      </c>
      <c r="J124" s="64" t="s">
        <v>44</v>
      </c>
      <c r="K124" s="41">
        <v>25690</v>
      </c>
      <c r="L124" s="41">
        <v>25690</v>
      </c>
      <c r="M124" s="62"/>
      <c r="N124" s="65"/>
    </row>
    <row r="125" spans="1:14" s="52" customFormat="1" ht="26.4" x14ac:dyDescent="0.25">
      <c r="A125" s="36" t="str">
        <f t="shared" si="2"/>
        <v>5021304000</v>
      </c>
      <c r="B125" s="51" t="s">
        <v>241</v>
      </c>
      <c r="C125" s="61" t="s">
        <v>85</v>
      </c>
      <c r="D125" s="68" t="s">
        <v>285</v>
      </c>
      <c r="E125" s="63" t="s">
        <v>70</v>
      </c>
      <c r="F125" s="39">
        <v>46023</v>
      </c>
      <c r="G125" s="39"/>
      <c r="H125" s="14"/>
      <c r="I125" s="39">
        <v>46357</v>
      </c>
      <c r="J125" s="64" t="s">
        <v>44</v>
      </c>
      <c r="K125" s="41">
        <v>36000</v>
      </c>
      <c r="L125" s="41">
        <v>36000</v>
      </c>
      <c r="M125" s="62"/>
      <c r="N125" s="65"/>
    </row>
    <row r="126" spans="1:14" s="52" customFormat="1" ht="39.6" x14ac:dyDescent="0.25">
      <c r="A126" s="36" t="str">
        <f t="shared" si="2"/>
        <v>5020399000</v>
      </c>
      <c r="B126" s="51" t="s">
        <v>242</v>
      </c>
      <c r="C126" s="61" t="s">
        <v>84</v>
      </c>
      <c r="D126" s="68" t="s">
        <v>285</v>
      </c>
      <c r="E126" s="63" t="s">
        <v>70</v>
      </c>
      <c r="F126" s="39">
        <v>46023</v>
      </c>
      <c r="G126" s="39"/>
      <c r="H126" s="14"/>
      <c r="I126" s="39">
        <v>46357</v>
      </c>
      <c r="J126" s="64" t="s">
        <v>44</v>
      </c>
      <c r="K126" s="41">
        <v>113340</v>
      </c>
      <c r="L126" s="41">
        <v>113340</v>
      </c>
      <c r="M126" s="62"/>
      <c r="N126" s="65"/>
    </row>
    <row r="127" spans="1:14" s="52" customFormat="1" ht="26.4" x14ac:dyDescent="0.25">
      <c r="A127" s="36" t="str">
        <f t="shared" si="2"/>
        <v>5020399000</v>
      </c>
      <c r="B127" s="51" t="s">
        <v>243</v>
      </c>
      <c r="C127" s="61" t="s">
        <v>84</v>
      </c>
      <c r="D127" s="68" t="s">
        <v>285</v>
      </c>
      <c r="E127" s="63" t="s">
        <v>70</v>
      </c>
      <c r="F127" s="39">
        <v>46023</v>
      </c>
      <c r="G127" s="39"/>
      <c r="H127" s="14"/>
      <c r="I127" s="39">
        <v>46357</v>
      </c>
      <c r="J127" s="64" t="s">
        <v>44</v>
      </c>
      <c r="K127" s="41">
        <v>4930</v>
      </c>
      <c r="L127" s="41">
        <v>4930</v>
      </c>
      <c r="M127" s="62"/>
      <c r="N127" s="65"/>
    </row>
    <row r="128" spans="1:14" s="52" customFormat="1" ht="26.4" x14ac:dyDescent="0.25">
      <c r="A128" s="36" t="str">
        <f t="shared" si="2"/>
        <v>5020399000</v>
      </c>
      <c r="B128" s="51" t="s">
        <v>244</v>
      </c>
      <c r="C128" s="61" t="s">
        <v>84</v>
      </c>
      <c r="D128" s="68" t="s">
        <v>285</v>
      </c>
      <c r="E128" s="63" t="s">
        <v>70</v>
      </c>
      <c r="F128" s="39">
        <v>46023</v>
      </c>
      <c r="G128" s="39"/>
      <c r="H128" s="14"/>
      <c r="I128" s="39">
        <v>46357</v>
      </c>
      <c r="J128" s="64" t="s">
        <v>44</v>
      </c>
      <c r="K128" s="41">
        <v>9350</v>
      </c>
      <c r="L128" s="41">
        <v>9350</v>
      </c>
      <c r="M128" s="62"/>
      <c r="N128" s="65"/>
    </row>
    <row r="129" spans="1:14" s="52" customFormat="1" ht="26.4" x14ac:dyDescent="0.25">
      <c r="A129" s="36" t="str">
        <f t="shared" si="2"/>
        <v>5020310000</v>
      </c>
      <c r="B129" s="51" t="s">
        <v>245</v>
      </c>
      <c r="C129" s="61" t="s">
        <v>79</v>
      </c>
      <c r="D129" s="68" t="s">
        <v>285</v>
      </c>
      <c r="E129" s="63" t="s">
        <v>70</v>
      </c>
      <c r="F129" s="39">
        <v>46023</v>
      </c>
      <c r="G129" s="39"/>
      <c r="H129" s="14"/>
      <c r="I129" s="39">
        <v>46357</v>
      </c>
      <c r="J129" s="64" t="s">
        <v>44</v>
      </c>
      <c r="K129" s="41">
        <v>234000</v>
      </c>
      <c r="L129" s="41">
        <v>234000</v>
      </c>
      <c r="M129" s="62"/>
      <c r="N129" s="65"/>
    </row>
    <row r="130" spans="1:14" s="52" customFormat="1" ht="26.4" x14ac:dyDescent="0.25">
      <c r="A130" s="36" t="str">
        <f t="shared" si="2"/>
        <v>5020399000</v>
      </c>
      <c r="B130" s="51" t="s">
        <v>246</v>
      </c>
      <c r="C130" s="61" t="s">
        <v>84</v>
      </c>
      <c r="D130" s="68" t="s">
        <v>285</v>
      </c>
      <c r="E130" s="63" t="s">
        <v>70</v>
      </c>
      <c r="F130" s="39">
        <v>46023</v>
      </c>
      <c r="G130" s="39"/>
      <c r="H130" s="14"/>
      <c r="I130" s="39">
        <v>46357</v>
      </c>
      <c r="J130" s="64" t="s">
        <v>44</v>
      </c>
      <c r="K130" s="41">
        <v>23000</v>
      </c>
      <c r="L130" s="41">
        <v>23000</v>
      </c>
      <c r="M130" s="62"/>
      <c r="N130" s="65"/>
    </row>
    <row r="131" spans="1:14" s="52" customFormat="1" ht="26.4" x14ac:dyDescent="0.25">
      <c r="A131" s="36" t="str">
        <f t="shared" si="2"/>
        <v>5020399000</v>
      </c>
      <c r="B131" s="51" t="s">
        <v>247</v>
      </c>
      <c r="C131" s="61" t="s">
        <v>84</v>
      </c>
      <c r="D131" s="68" t="s">
        <v>285</v>
      </c>
      <c r="E131" s="63" t="s">
        <v>35</v>
      </c>
      <c r="F131" s="39">
        <v>46023</v>
      </c>
      <c r="G131" s="39"/>
      <c r="H131" s="14"/>
      <c r="I131" s="39">
        <v>46357</v>
      </c>
      <c r="J131" s="64" t="s">
        <v>44</v>
      </c>
      <c r="K131" s="41">
        <v>55000</v>
      </c>
      <c r="L131" s="41">
        <v>55000</v>
      </c>
      <c r="M131" s="62"/>
      <c r="N131" s="65"/>
    </row>
    <row r="132" spans="1:14" s="52" customFormat="1" ht="39.6" x14ac:dyDescent="0.25">
      <c r="A132" s="36" t="str">
        <f t="shared" si="2"/>
        <v>5020399000</v>
      </c>
      <c r="B132" s="51" t="s">
        <v>248</v>
      </c>
      <c r="C132" s="61" t="s">
        <v>84</v>
      </c>
      <c r="D132" s="68" t="s">
        <v>285</v>
      </c>
      <c r="E132" s="63" t="s">
        <v>35</v>
      </c>
      <c r="F132" s="39">
        <v>46023</v>
      </c>
      <c r="G132" s="39"/>
      <c r="H132" s="14"/>
      <c r="I132" s="39">
        <v>46357</v>
      </c>
      <c r="J132" s="64" t="s">
        <v>44</v>
      </c>
      <c r="K132" s="41">
        <v>313000</v>
      </c>
      <c r="L132" s="41">
        <v>313000</v>
      </c>
      <c r="M132" s="62"/>
      <c r="N132" s="65"/>
    </row>
    <row r="133" spans="1:14" s="52" customFormat="1" ht="26.4" x14ac:dyDescent="0.25">
      <c r="A133" s="36" t="str">
        <f t="shared" si="2"/>
        <v>5020399000</v>
      </c>
      <c r="B133" s="51" t="s">
        <v>249</v>
      </c>
      <c r="C133" s="61" t="s">
        <v>84</v>
      </c>
      <c r="D133" s="68" t="s">
        <v>285</v>
      </c>
      <c r="E133" s="63" t="s">
        <v>35</v>
      </c>
      <c r="F133" s="39">
        <v>46023</v>
      </c>
      <c r="G133" s="39"/>
      <c r="H133" s="14"/>
      <c r="I133" s="39">
        <v>46357</v>
      </c>
      <c r="J133" s="64" t="s">
        <v>44</v>
      </c>
      <c r="K133" s="41">
        <v>15000</v>
      </c>
      <c r="L133" s="41">
        <v>15000</v>
      </c>
      <c r="M133" s="62"/>
      <c r="N133" s="65"/>
    </row>
    <row r="134" spans="1:14" s="52" customFormat="1" ht="26.4" x14ac:dyDescent="0.25">
      <c r="A134" s="36" t="str">
        <f t="shared" si="2"/>
        <v>5020301000</v>
      </c>
      <c r="B134" s="51" t="s">
        <v>250</v>
      </c>
      <c r="C134" s="61" t="s">
        <v>74</v>
      </c>
      <c r="D134" s="68" t="s">
        <v>285</v>
      </c>
      <c r="E134" s="63" t="s">
        <v>70</v>
      </c>
      <c r="F134" s="39">
        <v>46023</v>
      </c>
      <c r="G134" s="39"/>
      <c r="H134" s="14"/>
      <c r="I134" s="39">
        <v>46357</v>
      </c>
      <c r="J134" s="64" t="s">
        <v>44</v>
      </c>
      <c r="K134" s="41">
        <v>39477.199999999997</v>
      </c>
      <c r="L134" s="41">
        <v>39477.199999999997</v>
      </c>
      <c r="M134" s="62"/>
      <c r="N134" s="65"/>
    </row>
    <row r="135" spans="1:14" s="52" customFormat="1" ht="26.4" x14ac:dyDescent="0.25">
      <c r="A135" s="36" t="str">
        <f t="shared" ref="A135:A198" si="3">C135</f>
        <v>5029907000</v>
      </c>
      <c r="B135" s="51" t="s">
        <v>251</v>
      </c>
      <c r="C135" s="61" t="s">
        <v>92</v>
      </c>
      <c r="D135" s="68" t="s">
        <v>285</v>
      </c>
      <c r="E135" s="63" t="s">
        <v>41</v>
      </c>
      <c r="F135" s="39">
        <v>46023</v>
      </c>
      <c r="G135" s="39"/>
      <c r="H135" s="14"/>
      <c r="I135" s="39">
        <v>46357</v>
      </c>
      <c r="J135" s="64" t="s">
        <v>44</v>
      </c>
      <c r="K135" s="41">
        <v>2300000</v>
      </c>
      <c r="L135" s="41">
        <v>2300000</v>
      </c>
      <c r="M135" s="62"/>
      <c r="N135" s="65"/>
    </row>
    <row r="136" spans="1:14" s="52" customFormat="1" ht="26.4" x14ac:dyDescent="0.25">
      <c r="A136" s="36" t="str">
        <f t="shared" si="3"/>
        <v>5020399000</v>
      </c>
      <c r="B136" s="51" t="s">
        <v>252</v>
      </c>
      <c r="C136" s="61" t="s">
        <v>84</v>
      </c>
      <c r="D136" s="68" t="s">
        <v>285</v>
      </c>
      <c r="E136" s="63" t="s">
        <v>70</v>
      </c>
      <c r="F136" s="39">
        <v>46023</v>
      </c>
      <c r="G136" s="39"/>
      <c r="H136" s="14"/>
      <c r="I136" s="39">
        <v>46357</v>
      </c>
      <c r="J136" s="64" t="s">
        <v>44</v>
      </c>
      <c r="K136" s="41">
        <v>6000</v>
      </c>
      <c r="L136" s="41">
        <v>6000</v>
      </c>
      <c r="M136" s="62"/>
      <c r="N136" s="65"/>
    </row>
    <row r="137" spans="1:14" s="52" customFormat="1" ht="26.4" x14ac:dyDescent="0.25">
      <c r="A137" s="36" t="str">
        <f t="shared" si="3"/>
        <v>5020301000</v>
      </c>
      <c r="B137" s="51" t="s">
        <v>253</v>
      </c>
      <c r="C137" s="61" t="s">
        <v>74</v>
      </c>
      <c r="D137" s="68" t="s">
        <v>285</v>
      </c>
      <c r="E137" s="63" t="s">
        <v>35</v>
      </c>
      <c r="F137" s="39">
        <v>46023</v>
      </c>
      <c r="G137" s="39"/>
      <c r="H137" s="14"/>
      <c r="I137" s="39">
        <v>46357</v>
      </c>
      <c r="J137" s="64" t="s">
        <v>44</v>
      </c>
      <c r="K137" s="41">
        <v>3009573.2</v>
      </c>
      <c r="L137" s="41">
        <v>3009573.2</v>
      </c>
      <c r="M137" s="62"/>
      <c r="N137" s="65"/>
    </row>
    <row r="138" spans="1:14" s="52" customFormat="1" ht="26.4" x14ac:dyDescent="0.25">
      <c r="A138" s="36" t="str">
        <f t="shared" si="3"/>
        <v>5020399000</v>
      </c>
      <c r="B138" s="51" t="s">
        <v>254</v>
      </c>
      <c r="C138" s="61" t="s">
        <v>84</v>
      </c>
      <c r="D138" s="68" t="s">
        <v>285</v>
      </c>
      <c r="E138" s="63" t="s">
        <v>35</v>
      </c>
      <c r="F138" s="39">
        <v>46023</v>
      </c>
      <c r="G138" s="39"/>
      <c r="H138" s="14"/>
      <c r="I138" s="39">
        <v>46357</v>
      </c>
      <c r="J138" s="64" t="s">
        <v>44</v>
      </c>
      <c r="K138" s="41">
        <v>19500</v>
      </c>
      <c r="L138" s="41">
        <v>19500</v>
      </c>
      <c r="M138" s="62"/>
      <c r="N138" s="65"/>
    </row>
    <row r="139" spans="1:14" s="52" customFormat="1" ht="26.4" x14ac:dyDescent="0.25">
      <c r="A139" s="36" t="str">
        <f t="shared" si="3"/>
        <v>5020399000</v>
      </c>
      <c r="B139" s="51" t="s">
        <v>255</v>
      </c>
      <c r="C139" s="61" t="s">
        <v>84</v>
      </c>
      <c r="D139" s="68" t="s">
        <v>285</v>
      </c>
      <c r="E139" s="63" t="s">
        <v>70</v>
      </c>
      <c r="F139" s="39">
        <v>46023</v>
      </c>
      <c r="G139" s="39"/>
      <c r="H139" s="14"/>
      <c r="I139" s="39">
        <v>46357</v>
      </c>
      <c r="J139" s="64" t="s">
        <v>44</v>
      </c>
      <c r="K139" s="41">
        <v>17784</v>
      </c>
      <c r="L139" s="41">
        <v>17784</v>
      </c>
      <c r="M139" s="62"/>
      <c r="N139" s="65"/>
    </row>
    <row r="140" spans="1:14" s="52" customFormat="1" ht="26.4" x14ac:dyDescent="0.25">
      <c r="A140" s="36" t="str">
        <f t="shared" si="3"/>
        <v>5020399000</v>
      </c>
      <c r="B140" s="51" t="s">
        <v>256</v>
      </c>
      <c r="C140" s="61" t="s">
        <v>84</v>
      </c>
      <c r="D140" s="68" t="s">
        <v>285</v>
      </c>
      <c r="E140" s="63" t="s">
        <v>35</v>
      </c>
      <c r="F140" s="39">
        <v>46023</v>
      </c>
      <c r="G140" s="39"/>
      <c r="H140" s="14"/>
      <c r="I140" s="39">
        <v>46357</v>
      </c>
      <c r="J140" s="64" t="s">
        <v>44</v>
      </c>
      <c r="K140" s="41">
        <f>178500</f>
        <v>178500</v>
      </c>
      <c r="L140" s="41">
        <f>178500</f>
        <v>178500</v>
      </c>
      <c r="M140" s="62"/>
      <c r="N140" s="65"/>
    </row>
    <row r="141" spans="1:14" s="52" customFormat="1" ht="26.4" x14ac:dyDescent="0.25">
      <c r="A141" s="36" t="str">
        <f t="shared" si="3"/>
        <v>5020399000</v>
      </c>
      <c r="B141" s="51" t="s">
        <v>257</v>
      </c>
      <c r="C141" s="61" t="s">
        <v>84</v>
      </c>
      <c r="D141" s="68" t="s">
        <v>285</v>
      </c>
      <c r="E141" s="63" t="s">
        <v>35</v>
      </c>
      <c r="F141" s="39">
        <v>46023</v>
      </c>
      <c r="G141" s="39"/>
      <c r="H141" s="14"/>
      <c r="I141" s="39">
        <v>46357</v>
      </c>
      <c r="J141" s="64" t="s">
        <v>44</v>
      </c>
      <c r="K141" s="41">
        <v>2260000</v>
      </c>
      <c r="L141" s="41">
        <v>2260000</v>
      </c>
      <c r="M141" s="62"/>
      <c r="N141" s="65"/>
    </row>
    <row r="142" spans="1:14" s="52" customFormat="1" ht="26.4" x14ac:dyDescent="0.25">
      <c r="A142" s="36" t="str">
        <f t="shared" si="3"/>
        <v>5020399000</v>
      </c>
      <c r="B142" s="51" t="s">
        <v>258</v>
      </c>
      <c r="C142" s="61" t="s">
        <v>84</v>
      </c>
      <c r="D142" s="68" t="s">
        <v>285</v>
      </c>
      <c r="E142" s="63" t="s">
        <v>35</v>
      </c>
      <c r="F142" s="39">
        <v>46023</v>
      </c>
      <c r="G142" s="39"/>
      <c r="H142" s="14"/>
      <c r="I142" s="39">
        <v>46357</v>
      </c>
      <c r="J142" s="64" t="s">
        <v>44</v>
      </c>
      <c r="K142" s="41">
        <v>2689688</v>
      </c>
      <c r="L142" s="41">
        <v>2689688</v>
      </c>
      <c r="M142" s="62"/>
      <c r="N142" s="65"/>
    </row>
    <row r="143" spans="1:14" s="52" customFormat="1" ht="26.4" x14ac:dyDescent="0.25">
      <c r="A143" s="36" t="str">
        <f t="shared" si="3"/>
        <v>5021304000</v>
      </c>
      <c r="B143" s="51" t="s">
        <v>259</v>
      </c>
      <c r="C143" s="61" t="s">
        <v>85</v>
      </c>
      <c r="D143" s="68" t="s">
        <v>285</v>
      </c>
      <c r="E143" s="63" t="s">
        <v>70</v>
      </c>
      <c r="F143" s="39">
        <v>46023</v>
      </c>
      <c r="G143" s="39"/>
      <c r="H143" s="14"/>
      <c r="I143" s="39">
        <v>46357</v>
      </c>
      <c r="J143" s="64" t="s">
        <v>44</v>
      </c>
      <c r="K143" s="41">
        <v>100000</v>
      </c>
      <c r="L143" s="41">
        <v>100000</v>
      </c>
      <c r="M143" s="62"/>
      <c r="N143" s="65"/>
    </row>
    <row r="144" spans="1:14" s="52" customFormat="1" ht="26.4" x14ac:dyDescent="0.25">
      <c r="A144" s="36" t="str">
        <f t="shared" si="3"/>
        <v>5020399000</v>
      </c>
      <c r="B144" s="51" t="s">
        <v>260</v>
      </c>
      <c r="C144" s="61" t="s">
        <v>84</v>
      </c>
      <c r="D144" s="68" t="s">
        <v>285</v>
      </c>
      <c r="E144" s="63" t="s">
        <v>70</v>
      </c>
      <c r="F144" s="39">
        <v>46023</v>
      </c>
      <c r="G144" s="39"/>
      <c r="H144" s="14"/>
      <c r="I144" s="39">
        <v>46357</v>
      </c>
      <c r="J144" s="64" t="s">
        <v>44</v>
      </c>
      <c r="K144" s="41">
        <v>45000</v>
      </c>
      <c r="L144" s="41">
        <v>45000</v>
      </c>
      <c r="M144" s="62"/>
      <c r="N144" s="65"/>
    </row>
    <row r="145" spans="1:14" s="52" customFormat="1" ht="26.4" x14ac:dyDescent="0.25">
      <c r="A145" s="36" t="str">
        <f t="shared" si="3"/>
        <v>5020399000</v>
      </c>
      <c r="B145" s="51" t="s">
        <v>261</v>
      </c>
      <c r="C145" s="61" t="s">
        <v>84</v>
      </c>
      <c r="D145" s="68" t="s">
        <v>285</v>
      </c>
      <c r="E145" s="63" t="s">
        <v>70</v>
      </c>
      <c r="F145" s="39">
        <v>46023</v>
      </c>
      <c r="G145" s="39"/>
      <c r="H145" s="14"/>
      <c r="I145" s="39">
        <v>46357</v>
      </c>
      <c r="J145" s="64" t="s">
        <v>44</v>
      </c>
      <c r="K145" s="41">
        <v>10842.1</v>
      </c>
      <c r="L145" s="41">
        <v>10842.1</v>
      </c>
      <c r="M145" s="62"/>
      <c r="N145" s="65"/>
    </row>
    <row r="146" spans="1:14" s="52" customFormat="1" ht="26.4" x14ac:dyDescent="0.25">
      <c r="A146" s="36" t="str">
        <f t="shared" si="3"/>
        <v>5020399000</v>
      </c>
      <c r="B146" s="51" t="s">
        <v>262</v>
      </c>
      <c r="C146" s="61" t="s">
        <v>84</v>
      </c>
      <c r="D146" s="68" t="s">
        <v>285</v>
      </c>
      <c r="E146" s="63" t="s">
        <v>35</v>
      </c>
      <c r="F146" s="39">
        <v>46023</v>
      </c>
      <c r="G146" s="39"/>
      <c r="H146" s="14"/>
      <c r="I146" s="39">
        <v>46357</v>
      </c>
      <c r="J146" s="64" t="s">
        <v>44</v>
      </c>
      <c r="K146" s="41">
        <v>124000</v>
      </c>
      <c r="L146" s="41">
        <v>124000</v>
      </c>
      <c r="M146" s="62"/>
      <c r="N146" s="65"/>
    </row>
    <row r="147" spans="1:14" s="52" customFormat="1" ht="26.4" x14ac:dyDescent="0.25">
      <c r="A147" s="36" t="str">
        <f t="shared" si="3"/>
        <v>5020301000</v>
      </c>
      <c r="B147" s="51" t="s">
        <v>263</v>
      </c>
      <c r="C147" s="61" t="s">
        <v>74</v>
      </c>
      <c r="D147" s="68" t="s">
        <v>285</v>
      </c>
      <c r="E147" s="63" t="s">
        <v>70</v>
      </c>
      <c r="F147" s="39">
        <v>46023</v>
      </c>
      <c r="G147" s="39"/>
      <c r="H147" s="14"/>
      <c r="I147" s="39">
        <v>46357</v>
      </c>
      <c r="J147" s="64" t="s">
        <v>44</v>
      </c>
      <c r="K147" s="41">
        <v>25284.5</v>
      </c>
      <c r="L147" s="41">
        <v>25284.5</v>
      </c>
      <c r="M147" s="62"/>
      <c r="N147" s="65"/>
    </row>
    <row r="148" spans="1:14" s="52" customFormat="1" ht="26.4" x14ac:dyDescent="0.25">
      <c r="A148" s="36" t="str">
        <f t="shared" si="3"/>
        <v>5020399000</v>
      </c>
      <c r="B148" s="51" t="s">
        <v>264</v>
      </c>
      <c r="C148" s="61" t="s">
        <v>84</v>
      </c>
      <c r="D148" s="68" t="s">
        <v>285</v>
      </c>
      <c r="E148" s="63" t="s">
        <v>35</v>
      </c>
      <c r="F148" s="39">
        <v>46023</v>
      </c>
      <c r="G148" s="39"/>
      <c r="H148" s="14"/>
      <c r="I148" s="39">
        <v>46357</v>
      </c>
      <c r="J148" s="64" t="s">
        <v>44</v>
      </c>
      <c r="K148" s="41">
        <v>774000</v>
      </c>
      <c r="L148" s="41">
        <v>774000</v>
      </c>
      <c r="M148" s="62"/>
      <c r="N148" s="65"/>
    </row>
    <row r="149" spans="1:14" s="52" customFormat="1" ht="26.4" x14ac:dyDescent="0.25">
      <c r="A149" s="36" t="str">
        <f t="shared" si="3"/>
        <v>5020399000</v>
      </c>
      <c r="B149" s="51" t="s">
        <v>265</v>
      </c>
      <c r="C149" s="61" t="s">
        <v>84</v>
      </c>
      <c r="D149" s="68" t="s">
        <v>285</v>
      </c>
      <c r="E149" s="63" t="s">
        <v>70</v>
      </c>
      <c r="F149" s="39">
        <v>46023</v>
      </c>
      <c r="G149" s="39"/>
      <c r="H149" s="14"/>
      <c r="I149" s="39">
        <v>46357</v>
      </c>
      <c r="J149" s="64" t="s">
        <v>44</v>
      </c>
      <c r="K149" s="41">
        <v>109000</v>
      </c>
      <c r="L149" s="41">
        <v>109000</v>
      </c>
      <c r="M149" s="62"/>
      <c r="N149" s="65"/>
    </row>
    <row r="150" spans="1:14" s="52" customFormat="1" ht="26.4" x14ac:dyDescent="0.25">
      <c r="A150" s="36" t="str">
        <f t="shared" si="3"/>
        <v>5020301000</v>
      </c>
      <c r="B150" s="51" t="s">
        <v>266</v>
      </c>
      <c r="C150" s="61" t="s">
        <v>74</v>
      </c>
      <c r="D150" s="68" t="s">
        <v>285</v>
      </c>
      <c r="E150" s="63" t="s">
        <v>70</v>
      </c>
      <c r="F150" s="39">
        <v>46023</v>
      </c>
      <c r="G150" s="39"/>
      <c r="H150" s="14"/>
      <c r="I150" s="39">
        <v>46357</v>
      </c>
      <c r="J150" s="64" t="s">
        <v>44</v>
      </c>
      <c r="K150" s="41">
        <v>23819</v>
      </c>
      <c r="L150" s="41">
        <v>23819</v>
      </c>
      <c r="M150" s="62"/>
      <c r="N150" s="65"/>
    </row>
    <row r="151" spans="1:14" s="52" customFormat="1" ht="26.4" x14ac:dyDescent="0.25">
      <c r="A151" s="36" t="str">
        <f t="shared" si="3"/>
        <v>5020399000</v>
      </c>
      <c r="B151" s="51" t="s">
        <v>267</v>
      </c>
      <c r="C151" s="61" t="s">
        <v>84</v>
      </c>
      <c r="D151" s="68" t="s">
        <v>285</v>
      </c>
      <c r="E151" s="63" t="s">
        <v>35</v>
      </c>
      <c r="F151" s="39">
        <v>46023</v>
      </c>
      <c r="G151" s="39"/>
      <c r="H151" s="14"/>
      <c r="I151" s="39">
        <v>46357</v>
      </c>
      <c r="J151" s="64" t="s">
        <v>44</v>
      </c>
      <c r="K151" s="41">
        <v>45594</v>
      </c>
      <c r="L151" s="41">
        <v>45594</v>
      </c>
      <c r="M151" s="62"/>
      <c r="N151" s="65"/>
    </row>
    <row r="152" spans="1:14" s="52" customFormat="1" ht="26.4" x14ac:dyDescent="0.25">
      <c r="A152" s="36" t="str">
        <f t="shared" si="3"/>
        <v>5020399000</v>
      </c>
      <c r="B152" s="51" t="s">
        <v>268</v>
      </c>
      <c r="C152" s="61" t="s">
        <v>84</v>
      </c>
      <c r="D152" s="68" t="s">
        <v>285</v>
      </c>
      <c r="E152" s="63" t="s">
        <v>70</v>
      </c>
      <c r="F152" s="39">
        <v>46023</v>
      </c>
      <c r="G152" s="39"/>
      <c r="H152" s="14"/>
      <c r="I152" s="39">
        <v>46357</v>
      </c>
      <c r="J152" s="64" t="s">
        <v>44</v>
      </c>
      <c r="K152" s="41">
        <v>8280</v>
      </c>
      <c r="L152" s="41">
        <v>8280</v>
      </c>
      <c r="M152" s="62"/>
      <c r="N152" s="65"/>
    </row>
    <row r="153" spans="1:14" s="52" customFormat="1" ht="26.4" x14ac:dyDescent="0.25">
      <c r="A153" s="36" t="str">
        <f t="shared" si="3"/>
        <v>5020321002</v>
      </c>
      <c r="B153" s="51" t="s">
        <v>269</v>
      </c>
      <c r="C153" s="61" t="s">
        <v>82</v>
      </c>
      <c r="D153" s="68" t="s">
        <v>285</v>
      </c>
      <c r="E153" s="63" t="s">
        <v>35</v>
      </c>
      <c r="F153" s="39">
        <v>46023</v>
      </c>
      <c r="G153" s="39"/>
      <c r="H153" s="14"/>
      <c r="I153" s="39">
        <v>46357</v>
      </c>
      <c r="J153" s="64" t="s">
        <v>44</v>
      </c>
      <c r="K153" s="41">
        <v>54479</v>
      </c>
      <c r="L153" s="41">
        <v>54479</v>
      </c>
      <c r="M153" s="62"/>
      <c r="N153" s="65"/>
    </row>
    <row r="154" spans="1:14" s="52" customFormat="1" ht="26.4" x14ac:dyDescent="0.25">
      <c r="A154" s="36" t="str">
        <f t="shared" si="3"/>
        <v>5020399000</v>
      </c>
      <c r="B154" s="51" t="s">
        <v>270</v>
      </c>
      <c r="C154" s="61" t="s">
        <v>84</v>
      </c>
      <c r="D154" s="68" t="s">
        <v>285</v>
      </c>
      <c r="E154" s="63" t="s">
        <v>35</v>
      </c>
      <c r="F154" s="39">
        <v>46023</v>
      </c>
      <c r="G154" s="39"/>
      <c r="H154" s="14"/>
      <c r="I154" s="39">
        <v>46357</v>
      </c>
      <c r="J154" s="64" t="s">
        <v>44</v>
      </c>
      <c r="K154" s="41">
        <v>203200</v>
      </c>
      <c r="L154" s="41">
        <v>203200</v>
      </c>
      <c r="M154" s="62"/>
      <c r="N154" s="65"/>
    </row>
    <row r="155" spans="1:14" s="52" customFormat="1" ht="26.4" x14ac:dyDescent="0.25">
      <c r="A155" s="36" t="str">
        <f t="shared" si="3"/>
        <v>5020399000</v>
      </c>
      <c r="B155" s="51" t="s">
        <v>271</v>
      </c>
      <c r="C155" s="61" t="s">
        <v>84</v>
      </c>
      <c r="D155" s="68" t="s">
        <v>285</v>
      </c>
      <c r="E155" s="63" t="s">
        <v>35</v>
      </c>
      <c r="F155" s="39">
        <v>46023</v>
      </c>
      <c r="G155" s="39"/>
      <c r="H155" s="14"/>
      <c r="I155" s="39">
        <v>46357</v>
      </c>
      <c r="J155" s="64" t="s">
        <v>44</v>
      </c>
      <c r="K155" s="41">
        <v>186690</v>
      </c>
      <c r="L155" s="41">
        <v>186690</v>
      </c>
      <c r="M155" s="62"/>
      <c r="N155" s="65"/>
    </row>
    <row r="156" spans="1:14" s="52" customFormat="1" ht="26.4" x14ac:dyDescent="0.25">
      <c r="A156" s="36" t="str">
        <f t="shared" si="3"/>
        <v>5020399000</v>
      </c>
      <c r="B156" s="51" t="s">
        <v>272</v>
      </c>
      <c r="C156" s="61" t="s">
        <v>84</v>
      </c>
      <c r="D156" s="68" t="s">
        <v>285</v>
      </c>
      <c r="E156" s="63" t="s">
        <v>35</v>
      </c>
      <c r="F156" s="39">
        <v>46023</v>
      </c>
      <c r="G156" s="39"/>
      <c r="H156" s="14"/>
      <c r="I156" s="39">
        <v>46357</v>
      </c>
      <c r="J156" s="64" t="s">
        <v>44</v>
      </c>
      <c r="K156" s="41">
        <v>107124</v>
      </c>
      <c r="L156" s="41">
        <v>107124</v>
      </c>
      <c r="M156" s="62"/>
      <c r="N156" s="65"/>
    </row>
    <row r="157" spans="1:14" s="52" customFormat="1" ht="26.4" x14ac:dyDescent="0.25">
      <c r="A157" s="36" t="str">
        <f t="shared" si="3"/>
        <v>5020399000</v>
      </c>
      <c r="B157" s="51" t="s">
        <v>273</v>
      </c>
      <c r="C157" s="61" t="s">
        <v>84</v>
      </c>
      <c r="D157" s="68" t="s">
        <v>285</v>
      </c>
      <c r="E157" s="63" t="s">
        <v>70</v>
      </c>
      <c r="F157" s="39">
        <v>46023</v>
      </c>
      <c r="G157" s="39"/>
      <c r="H157" s="14"/>
      <c r="I157" s="39">
        <v>46357</v>
      </c>
      <c r="J157" s="64" t="s">
        <v>44</v>
      </c>
      <c r="K157" s="75">
        <v>46440</v>
      </c>
      <c r="L157" s="75">
        <v>46440</v>
      </c>
      <c r="M157" s="62"/>
      <c r="N157" s="65"/>
    </row>
    <row r="158" spans="1:14" s="52" customFormat="1" ht="26.4" x14ac:dyDescent="0.25">
      <c r="A158" s="36" t="str">
        <f t="shared" si="3"/>
        <v>5020399000</v>
      </c>
      <c r="B158" s="51" t="s">
        <v>274</v>
      </c>
      <c r="C158" s="61" t="s">
        <v>84</v>
      </c>
      <c r="D158" s="68" t="s">
        <v>285</v>
      </c>
      <c r="E158" s="63" t="s">
        <v>70</v>
      </c>
      <c r="F158" s="39">
        <v>46023</v>
      </c>
      <c r="G158" s="39"/>
      <c r="H158" s="14"/>
      <c r="I158" s="39">
        <v>46357</v>
      </c>
      <c r="J158" s="64" t="s">
        <v>44</v>
      </c>
      <c r="K158" s="75">
        <v>76527.899999999994</v>
      </c>
      <c r="L158" s="75">
        <v>76527.899999999994</v>
      </c>
      <c r="M158" s="62"/>
      <c r="N158" s="65"/>
    </row>
    <row r="159" spans="1:14" s="52" customFormat="1" ht="26.4" x14ac:dyDescent="0.25">
      <c r="A159" s="36" t="str">
        <f t="shared" si="3"/>
        <v>5020399000</v>
      </c>
      <c r="B159" s="51" t="s">
        <v>275</v>
      </c>
      <c r="C159" s="61" t="s">
        <v>84</v>
      </c>
      <c r="D159" s="68" t="s">
        <v>285</v>
      </c>
      <c r="E159" s="63" t="s">
        <v>70</v>
      </c>
      <c r="F159" s="39">
        <v>46023</v>
      </c>
      <c r="G159" s="39"/>
      <c r="H159" s="14"/>
      <c r="I159" s="39">
        <v>46357</v>
      </c>
      <c r="J159" s="64" t="s">
        <v>44</v>
      </c>
      <c r="K159" s="75">
        <v>27457.599999999999</v>
      </c>
      <c r="L159" s="75">
        <v>27457.599999999999</v>
      </c>
      <c r="M159" s="62"/>
      <c r="N159" s="65"/>
    </row>
    <row r="160" spans="1:14" s="52" customFormat="1" ht="26.4" x14ac:dyDescent="0.25">
      <c r="A160" s="36" t="str">
        <f t="shared" si="3"/>
        <v>5020301000</v>
      </c>
      <c r="B160" s="51" t="s">
        <v>276</v>
      </c>
      <c r="C160" s="61" t="s">
        <v>74</v>
      </c>
      <c r="D160" s="68" t="s">
        <v>285</v>
      </c>
      <c r="E160" s="63" t="s">
        <v>70</v>
      </c>
      <c r="F160" s="39">
        <v>46023</v>
      </c>
      <c r="G160" s="39"/>
      <c r="H160" s="14"/>
      <c r="I160" s="39">
        <v>46357</v>
      </c>
      <c r="J160" s="64" t="s">
        <v>44</v>
      </c>
      <c r="K160" s="75">
        <v>82924.149999999994</v>
      </c>
      <c r="L160" s="75">
        <v>82924.149999999994</v>
      </c>
      <c r="M160" s="62"/>
      <c r="N160" s="65"/>
    </row>
    <row r="161" spans="1:14" s="52" customFormat="1" ht="26.4" x14ac:dyDescent="0.25">
      <c r="A161" s="36" t="str">
        <f t="shared" si="3"/>
        <v>5020399000</v>
      </c>
      <c r="B161" s="51" t="s">
        <v>277</v>
      </c>
      <c r="C161" s="61" t="s">
        <v>84</v>
      </c>
      <c r="D161" s="68" t="s">
        <v>285</v>
      </c>
      <c r="E161" s="63" t="s">
        <v>70</v>
      </c>
      <c r="F161" s="39">
        <v>46023</v>
      </c>
      <c r="G161" s="39"/>
      <c r="H161" s="14"/>
      <c r="I161" s="39">
        <v>46357</v>
      </c>
      <c r="J161" s="64" t="s">
        <v>44</v>
      </c>
      <c r="K161" s="75">
        <v>300000</v>
      </c>
      <c r="L161" s="75">
        <v>300000</v>
      </c>
      <c r="M161" s="62"/>
      <c r="N161" s="65"/>
    </row>
    <row r="162" spans="1:14" s="52" customFormat="1" ht="26.4" x14ac:dyDescent="0.25">
      <c r="A162" s="36" t="str">
        <f t="shared" si="3"/>
        <v>5020399000</v>
      </c>
      <c r="B162" s="51" t="s">
        <v>278</v>
      </c>
      <c r="C162" s="61" t="s">
        <v>84</v>
      </c>
      <c r="D162" s="68" t="s">
        <v>285</v>
      </c>
      <c r="E162" s="63" t="s">
        <v>69</v>
      </c>
      <c r="F162" s="39">
        <v>46023</v>
      </c>
      <c r="G162" s="39"/>
      <c r="H162" s="14"/>
      <c r="I162" s="39">
        <v>46357</v>
      </c>
      <c r="J162" s="64" t="s">
        <v>44</v>
      </c>
      <c r="K162" s="75">
        <v>117000</v>
      </c>
      <c r="L162" s="75">
        <v>117000</v>
      </c>
      <c r="M162" s="62"/>
      <c r="N162" s="65"/>
    </row>
    <row r="163" spans="1:14" s="52" customFormat="1" ht="26.4" x14ac:dyDescent="0.25">
      <c r="A163" s="36" t="str">
        <f t="shared" si="3"/>
        <v>5020399000</v>
      </c>
      <c r="B163" s="51" t="s">
        <v>279</v>
      </c>
      <c r="C163" s="61" t="s">
        <v>84</v>
      </c>
      <c r="D163" s="68" t="s">
        <v>285</v>
      </c>
      <c r="E163" s="63" t="s">
        <v>70</v>
      </c>
      <c r="F163" s="39">
        <v>46023</v>
      </c>
      <c r="G163" s="39"/>
      <c r="H163" s="14"/>
      <c r="I163" s="39">
        <v>46357</v>
      </c>
      <c r="J163" s="64" t="s">
        <v>44</v>
      </c>
      <c r="K163" s="75">
        <v>791038</v>
      </c>
      <c r="L163" s="75">
        <v>791038</v>
      </c>
      <c r="M163" s="62"/>
      <c r="N163" s="65"/>
    </row>
    <row r="164" spans="1:14" s="52" customFormat="1" ht="26.4" x14ac:dyDescent="0.25">
      <c r="A164" s="36" t="str">
        <f t="shared" si="3"/>
        <v>5020301000</v>
      </c>
      <c r="B164" s="51" t="s">
        <v>280</v>
      </c>
      <c r="C164" s="61" t="s">
        <v>74</v>
      </c>
      <c r="D164" s="68" t="s">
        <v>285</v>
      </c>
      <c r="E164" s="63" t="s">
        <v>70</v>
      </c>
      <c r="F164" s="39">
        <v>46023</v>
      </c>
      <c r="G164" s="39"/>
      <c r="H164" s="14"/>
      <c r="I164" s="39">
        <v>46357</v>
      </c>
      <c r="J164" s="64" t="s">
        <v>44</v>
      </c>
      <c r="K164" s="75">
        <v>190000</v>
      </c>
      <c r="L164" s="75">
        <v>190000</v>
      </c>
      <c r="M164" s="62"/>
      <c r="N164" s="65"/>
    </row>
    <row r="165" spans="1:14" s="52" customFormat="1" ht="26.4" x14ac:dyDescent="0.25">
      <c r="A165" s="36" t="str">
        <f t="shared" si="3"/>
        <v>5029907000</v>
      </c>
      <c r="B165" s="51" t="s">
        <v>281</v>
      </c>
      <c r="C165" s="61" t="s">
        <v>92</v>
      </c>
      <c r="D165" s="68" t="s">
        <v>285</v>
      </c>
      <c r="E165" s="63" t="s">
        <v>45</v>
      </c>
      <c r="F165" s="39">
        <v>46023</v>
      </c>
      <c r="G165" s="39"/>
      <c r="H165" s="14"/>
      <c r="I165" s="39">
        <v>46357</v>
      </c>
      <c r="J165" s="64" t="s">
        <v>44</v>
      </c>
      <c r="K165" s="75">
        <v>28000</v>
      </c>
      <c r="L165" s="75">
        <v>28000</v>
      </c>
      <c r="M165" s="62"/>
      <c r="N165" s="65"/>
    </row>
    <row r="166" spans="1:14" s="52" customFormat="1" ht="26.4" x14ac:dyDescent="0.25">
      <c r="A166" s="36" t="str">
        <f t="shared" si="3"/>
        <v>5020321002</v>
      </c>
      <c r="B166" s="51" t="s">
        <v>282</v>
      </c>
      <c r="C166" s="61" t="s">
        <v>82</v>
      </c>
      <c r="D166" s="68" t="s">
        <v>285</v>
      </c>
      <c r="E166" s="63" t="s">
        <v>69</v>
      </c>
      <c r="F166" s="39">
        <v>46023</v>
      </c>
      <c r="G166" s="39"/>
      <c r="H166" s="14"/>
      <c r="I166" s="39">
        <v>46357</v>
      </c>
      <c r="J166" s="64" t="s">
        <v>44</v>
      </c>
      <c r="K166" s="75">
        <v>45348</v>
      </c>
      <c r="L166" s="75">
        <v>45348</v>
      </c>
      <c r="M166" s="62"/>
      <c r="N166" s="65"/>
    </row>
    <row r="167" spans="1:14" s="52" customFormat="1" ht="26.4" x14ac:dyDescent="0.25">
      <c r="A167" s="36" t="str">
        <f t="shared" si="3"/>
        <v>5020399000</v>
      </c>
      <c r="B167" s="51" t="s">
        <v>283</v>
      </c>
      <c r="C167" s="61" t="s">
        <v>84</v>
      </c>
      <c r="D167" s="68" t="s">
        <v>285</v>
      </c>
      <c r="E167" s="63" t="s">
        <v>70</v>
      </c>
      <c r="F167" s="39">
        <v>46023</v>
      </c>
      <c r="G167" s="39"/>
      <c r="H167" s="14"/>
      <c r="I167" s="39">
        <v>46357</v>
      </c>
      <c r="J167" s="64" t="s">
        <v>44</v>
      </c>
      <c r="K167" s="75">
        <v>13740</v>
      </c>
      <c r="L167" s="75">
        <v>13740</v>
      </c>
      <c r="M167" s="62"/>
      <c r="N167" s="65"/>
    </row>
    <row r="168" spans="1:14" s="52" customFormat="1" ht="26.4" x14ac:dyDescent="0.25">
      <c r="A168" s="36" t="str">
        <f t="shared" si="3"/>
        <v>5020301000</v>
      </c>
      <c r="B168" s="51" t="s">
        <v>284</v>
      </c>
      <c r="C168" s="61" t="s">
        <v>74</v>
      </c>
      <c r="D168" s="68" t="s">
        <v>285</v>
      </c>
      <c r="E168" s="63" t="s">
        <v>70</v>
      </c>
      <c r="F168" s="39">
        <v>46023</v>
      </c>
      <c r="G168" s="39"/>
      <c r="H168" s="14"/>
      <c r="I168" s="39">
        <v>46357</v>
      </c>
      <c r="J168" s="64" t="s">
        <v>44</v>
      </c>
      <c r="K168" s="75">
        <v>7515.92</v>
      </c>
      <c r="L168" s="75">
        <v>7515.92</v>
      </c>
      <c r="M168" s="62"/>
      <c r="N168" s="65"/>
    </row>
    <row r="169" spans="1:14" s="52" customFormat="1" ht="26.4" x14ac:dyDescent="0.25">
      <c r="A169" s="36" t="str">
        <f t="shared" si="3"/>
        <v>5020310000</v>
      </c>
      <c r="B169" s="51" t="s">
        <v>286</v>
      </c>
      <c r="C169" s="61" t="s">
        <v>79</v>
      </c>
      <c r="D169" s="68" t="s">
        <v>285</v>
      </c>
      <c r="E169" s="63" t="s">
        <v>41</v>
      </c>
      <c r="F169" s="39">
        <v>46023</v>
      </c>
      <c r="G169" s="39"/>
      <c r="H169" s="14"/>
      <c r="I169" s="39">
        <v>46357</v>
      </c>
      <c r="J169" s="64" t="s">
        <v>44</v>
      </c>
      <c r="K169" s="76">
        <v>792200</v>
      </c>
      <c r="L169" s="76">
        <v>792200</v>
      </c>
      <c r="M169" s="62"/>
      <c r="N169" s="65"/>
    </row>
    <row r="170" spans="1:14" s="52" customFormat="1" ht="26.4" x14ac:dyDescent="0.25">
      <c r="A170" s="36" t="str">
        <f t="shared" si="3"/>
        <v>5020305000</v>
      </c>
      <c r="B170" s="51" t="s">
        <v>287</v>
      </c>
      <c r="C170" s="77" t="s">
        <v>75</v>
      </c>
      <c r="D170" s="68" t="s">
        <v>285</v>
      </c>
      <c r="E170" s="63" t="s">
        <v>41</v>
      </c>
      <c r="F170" s="39">
        <v>46023</v>
      </c>
      <c r="G170" s="39"/>
      <c r="H170" s="14"/>
      <c r="I170" s="39">
        <v>46357</v>
      </c>
      <c r="J170" s="64" t="s">
        <v>44</v>
      </c>
      <c r="K170" s="75">
        <v>3393075</v>
      </c>
      <c r="L170" s="75">
        <v>3393075</v>
      </c>
      <c r="M170" s="62"/>
      <c r="N170" s="65"/>
    </row>
    <row r="171" spans="1:14" s="52" customFormat="1" ht="26.4" x14ac:dyDescent="0.25">
      <c r="A171" s="36" t="str">
        <f t="shared" si="3"/>
        <v>5020399000</v>
      </c>
      <c r="B171" s="51" t="s">
        <v>288</v>
      </c>
      <c r="C171" s="61" t="s">
        <v>84</v>
      </c>
      <c r="D171" s="68" t="s">
        <v>285</v>
      </c>
      <c r="E171" s="63" t="s">
        <v>41</v>
      </c>
      <c r="F171" s="39">
        <v>46023</v>
      </c>
      <c r="G171" s="39"/>
      <c r="H171" s="14"/>
      <c r="I171" s="39">
        <v>46357</v>
      </c>
      <c r="J171" s="64" t="s">
        <v>44</v>
      </c>
      <c r="K171" s="75">
        <v>12000</v>
      </c>
      <c r="L171" s="75">
        <v>12000</v>
      </c>
      <c r="M171" s="62"/>
      <c r="N171" s="65"/>
    </row>
    <row r="172" spans="1:14" s="52" customFormat="1" ht="26.4" x14ac:dyDescent="0.25">
      <c r="A172" s="36" t="str">
        <f t="shared" si="3"/>
        <v>5020399000</v>
      </c>
      <c r="B172" s="51" t="s">
        <v>289</v>
      </c>
      <c r="C172" s="61" t="s">
        <v>84</v>
      </c>
      <c r="D172" s="68" t="s">
        <v>285</v>
      </c>
      <c r="E172" s="63" t="s">
        <v>41</v>
      </c>
      <c r="F172" s="39">
        <v>46023</v>
      </c>
      <c r="G172" s="39"/>
      <c r="H172" s="14"/>
      <c r="I172" s="39">
        <v>46357</v>
      </c>
      <c r="J172" s="64" t="s">
        <v>44</v>
      </c>
      <c r="K172" s="75">
        <v>1026</v>
      </c>
      <c r="L172" s="75">
        <v>1026</v>
      </c>
      <c r="M172" s="62"/>
      <c r="N172" s="65"/>
    </row>
    <row r="173" spans="1:14" s="52" customFormat="1" ht="26.4" x14ac:dyDescent="0.25">
      <c r="A173" s="36" t="str">
        <f t="shared" si="3"/>
        <v>5020399000</v>
      </c>
      <c r="B173" s="51" t="s">
        <v>290</v>
      </c>
      <c r="C173" s="61" t="s">
        <v>84</v>
      </c>
      <c r="D173" s="68" t="s">
        <v>285</v>
      </c>
      <c r="E173" s="63" t="s">
        <v>41</v>
      </c>
      <c r="F173" s="39">
        <v>46023</v>
      </c>
      <c r="G173" s="39"/>
      <c r="H173" s="14"/>
      <c r="I173" s="39">
        <v>46357</v>
      </c>
      <c r="J173" s="64" t="s">
        <v>44</v>
      </c>
      <c r="K173" s="75">
        <v>1272</v>
      </c>
      <c r="L173" s="75">
        <v>1272</v>
      </c>
      <c r="M173" s="62"/>
      <c r="N173" s="65"/>
    </row>
    <row r="174" spans="1:14" s="52" customFormat="1" ht="26.4" x14ac:dyDescent="0.25">
      <c r="A174" s="36" t="str">
        <f t="shared" si="3"/>
        <v>5020308000</v>
      </c>
      <c r="B174" s="51" t="s">
        <v>291</v>
      </c>
      <c r="C174" s="61" t="s">
        <v>77</v>
      </c>
      <c r="D174" s="68" t="s">
        <v>285</v>
      </c>
      <c r="E174" s="63" t="s">
        <v>41</v>
      </c>
      <c r="F174" s="39">
        <v>46023</v>
      </c>
      <c r="G174" s="39"/>
      <c r="H174" s="14"/>
      <c r="I174" s="39">
        <v>46357</v>
      </c>
      <c r="J174" s="64" t="s">
        <v>44</v>
      </c>
      <c r="K174" s="75">
        <v>1020</v>
      </c>
      <c r="L174" s="75">
        <v>1020</v>
      </c>
      <c r="M174" s="62"/>
      <c r="N174" s="65"/>
    </row>
    <row r="175" spans="1:14" s="52" customFormat="1" ht="39.6" x14ac:dyDescent="0.25">
      <c r="A175" s="36" t="str">
        <f t="shared" si="3"/>
        <v>5020399000</v>
      </c>
      <c r="B175" s="51" t="s">
        <v>292</v>
      </c>
      <c r="C175" s="61" t="s">
        <v>84</v>
      </c>
      <c r="D175" s="68" t="s">
        <v>359</v>
      </c>
      <c r="E175" s="63" t="s">
        <v>70</v>
      </c>
      <c r="F175" s="39">
        <v>46023</v>
      </c>
      <c r="G175" s="39"/>
      <c r="H175" s="14"/>
      <c r="I175" s="39">
        <v>46357</v>
      </c>
      <c r="J175" s="15" t="s">
        <v>44</v>
      </c>
      <c r="K175" s="41">
        <v>38600</v>
      </c>
      <c r="L175" s="41">
        <v>38600</v>
      </c>
      <c r="M175" s="62"/>
      <c r="N175" s="65"/>
    </row>
    <row r="176" spans="1:14" s="52" customFormat="1" ht="26.4" x14ac:dyDescent="0.25">
      <c r="A176" s="36">
        <f t="shared" si="3"/>
        <v>5029905008</v>
      </c>
      <c r="B176" s="51" t="s">
        <v>293</v>
      </c>
      <c r="C176" s="62">
        <v>5029905008</v>
      </c>
      <c r="D176" s="68" t="s">
        <v>359</v>
      </c>
      <c r="E176" s="63" t="s">
        <v>70</v>
      </c>
      <c r="F176" s="39">
        <v>46023</v>
      </c>
      <c r="G176" s="39"/>
      <c r="H176" s="14"/>
      <c r="I176" s="39">
        <v>46357</v>
      </c>
      <c r="J176" s="15" t="s">
        <v>44</v>
      </c>
      <c r="K176" s="41">
        <v>49900</v>
      </c>
      <c r="L176" s="41">
        <v>49900</v>
      </c>
      <c r="M176" s="62"/>
      <c r="N176" s="65"/>
    </row>
    <row r="177" spans="1:14" s="52" customFormat="1" ht="39.6" x14ac:dyDescent="0.25">
      <c r="A177" s="36" t="str">
        <f t="shared" si="3"/>
        <v>5020399000</v>
      </c>
      <c r="B177" s="51" t="s">
        <v>294</v>
      </c>
      <c r="C177" s="61" t="s">
        <v>84</v>
      </c>
      <c r="D177" s="68" t="s">
        <v>359</v>
      </c>
      <c r="E177" s="63" t="s">
        <v>70</v>
      </c>
      <c r="F177" s="39">
        <v>46023</v>
      </c>
      <c r="G177" s="39"/>
      <c r="H177" s="14"/>
      <c r="I177" s="39">
        <v>46357</v>
      </c>
      <c r="J177" s="15" t="s">
        <v>44</v>
      </c>
      <c r="K177" s="41">
        <v>56000</v>
      </c>
      <c r="L177" s="41">
        <v>56000</v>
      </c>
      <c r="M177" s="62"/>
      <c r="N177" s="65"/>
    </row>
    <row r="178" spans="1:14" s="52" customFormat="1" ht="26.4" x14ac:dyDescent="0.25">
      <c r="A178" s="36" t="str">
        <f t="shared" si="3"/>
        <v>5020399000</v>
      </c>
      <c r="B178" s="51" t="s">
        <v>295</v>
      </c>
      <c r="C178" s="61" t="s">
        <v>84</v>
      </c>
      <c r="D178" s="68" t="s">
        <v>359</v>
      </c>
      <c r="E178" s="63" t="s">
        <v>70</v>
      </c>
      <c r="F178" s="39">
        <v>46023</v>
      </c>
      <c r="G178" s="39"/>
      <c r="H178" s="14"/>
      <c r="I178" s="39">
        <v>46357</v>
      </c>
      <c r="J178" s="15" t="s">
        <v>44</v>
      </c>
      <c r="K178" s="41">
        <v>128580</v>
      </c>
      <c r="L178" s="41">
        <v>128580</v>
      </c>
      <c r="M178" s="62"/>
      <c r="N178" s="65"/>
    </row>
    <row r="179" spans="1:14" s="52" customFormat="1" ht="39.6" x14ac:dyDescent="0.25">
      <c r="A179" s="36" t="str">
        <f t="shared" si="3"/>
        <v>5020399000</v>
      </c>
      <c r="B179" s="51" t="s">
        <v>296</v>
      </c>
      <c r="C179" s="61" t="s">
        <v>84</v>
      </c>
      <c r="D179" s="68" t="s">
        <v>359</v>
      </c>
      <c r="E179" s="63" t="s">
        <v>70</v>
      </c>
      <c r="F179" s="39">
        <v>46023</v>
      </c>
      <c r="G179" s="39"/>
      <c r="H179" s="14"/>
      <c r="I179" s="39">
        <v>46357</v>
      </c>
      <c r="J179" s="15" t="s">
        <v>44</v>
      </c>
      <c r="K179" s="41">
        <v>1272200</v>
      </c>
      <c r="L179" s="41">
        <v>1272200</v>
      </c>
      <c r="M179" s="62"/>
      <c r="N179" s="65"/>
    </row>
    <row r="180" spans="1:14" s="52" customFormat="1" ht="26.4" x14ac:dyDescent="0.25">
      <c r="A180" s="36" t="str">
        <f t="shared" si="3"/>
        <v>5020399000</v>
      </c>
      <c r="B180" s="51" t="s">
        <v>298</v>
      </c>
      <c r="C180" s="61" t="s">
        <v>84</v>
      </c>
      <c r="D180" s="68" t="s">
        <v>297</v>
      </c>
      <c r="E180" s="63" t="s">
        <v>70</v>
      </c>
      <c r="F180" s="39">
        <v>46023</v>
      </c>
      <c r="G180" s="39"/>
      <c r="H180" s="14"/>
      <c r="I180" s="39">
        <v>46357</v>
      </c>
      <c r="J180" s="15" t="s">
        <v>44</v>
      </c>
      <c r="K180" s="41">
        <v>36000</v>
      </c>
      <c r="L180" s="41">
        <v>36000</v>
      </c>
      <c r="M180" s="62"/>
      <c r="N180" s="65"/>
    </row>
    <row r="181" spans="1:14" s="52" customFormat="1" ht="26.4" x14ac:dyDescent="0.25">
      <c r="A181" s="36" t="str">
        <f t="shared" si="3"/>
        <v>5020399000</v>
      </c>
      <c r="B181" s="51" t="s">
        <v>299</v>
      </c>
      <c r="C181" s="61" t="s">
        <v>84</v>
      </c>
      <c r="D181" s="68" t="s">
        <v>297</v>
      </c>
      <c r="E181" s="63" t="s">
        <v>70</v>
      </c>
      <c r="F181" s="39">
        <v>46023</v>
      </c>
      <c r="G181" s="39"/>
      <c r="H181" s="14"/>
      <c r="I181" s="39">
        <v>46357</v>
      </c>
      <c r="J181" s="15" t="s">
        <v>44</v>
      </c>
      <c r="K181" s="41">
        <v>18500</v>
      </c>
      <c r="L181" s="41">
        <v>18500</v>
      </c>
      <c r="M181" s="62"/>
      <c r="N181" s="65"/>
    </row>
    <row r="182" spans="1:14" s="52" customFormat="1" ht="26.4" x14ac:dyDescent="0.25">
      <c r="A182" s="36" t="str">
        <f t="shared" si="3"/>
        <v>5020399000</v>
      </c>
      <c r="B182" s="51" t="s">
        <v>300</v>
      </c>
      <c r="C182" s="61" t="s">
        <v>84</v>
      </c>
      <c r="D182" s="68" t="s">
        <v>297</v>
      </c>
      <c r="E182" s="63" t="s">
        <v>70</v>
      </c>
      <c r="F182" s="39">
        <v>46023</v>
      </c>
      <c r="G182" s="39"/>
      <c r="H182" s="14"/>
      <c r="I182" s="39">
        <v>46357</v>
      </c>
      <c r="J182" s="15" t="s">
        <v>44</v>
      </c>
      <c r="K182" s="41">
        <v>39500</v>
      </c>
      <c r="L182" s="41">
        <v>39500</v>
      </c>
      <c r="M182" s="62"/>
      <c r="N182" s="65"/>
    </row>
    <row r="183" spans="1:14" s="52" customFormat="1" ht="26.4" x14ac:dyDescent="0.25">
      <c r="A183" s="36" t="str">
        <f t="shared" si="3"/>
        <v>5020301000</v>
      </c>
      <c r="B183" s="51" t="s">
        <v>301</v>
      </c>
      <c r="C183" s="61" t="s">
        <v>74</v>
      </c>
      <c r="D183" s="68" t="s">
        <v>297</v>
      </c>
      <c r="E183" s="63" t="s">
        <v>70</v>
      </c>
      <c r="F183" s="39">
        <v>46023</v>
      </c>
      <c r="G183" s="39"/>
      <c r="H183" s="14"/>
      <c r="I183" s="39">
        <v>46357</v>
      </c>
      <c r="J183" s="15" t="s">
        <v>44</v>
      </c>
      <c r="K183" s="41">
        <v>426779.74</v>
      </c>
      <c r="L183" s="41">
        <v>426779.74</v>
      </c>
      <c r="M183" s="62"/>
      <c r="N183" s="65"/>
    </row>
    <row r="184" spans="1:14" s="52" customFormat="1" ht="39.6" x14ac:dyDescent="0.25">
      <c r="A184" s="36" t="str">
        <f t="shared" si="3"/>
        <v>5020308000</v>
      </c>
      <c r="B184" s="51" t="s">
        <v>302</v>
      </c>
      <c r="C184" s="61" t="s">
        <v>77</v>
      </c>
      <c r="D184" s="68" t="s">
        <v>360</v>
      </c>
      <c r="E184" s="63" t="s">
        <v>70</v>
      </c>
      <c r="F184" s="39">
        <v>46023</v>
      </c>
      <c r="G184" s="39"/>
      <c r="H184" s="14"/>
      <c r="I184" s="39">
        <v>46357</v>
      </c>
      <c r="J184" s="15" t="s">
        <v>44</v>
      </c>
      <c r="K184" s="41">
        <v>293205</v>
      </c>
      <c r="L184" s="41">
        <v>293205</v>
      </c>
      <c r="M184" s="62"/>
      <c r="N184" s="65"/>
    </row>
    <row r="185" spans="1:14" s="52" customFormat="1" ht="39.6" x14ac:dyDescent="0.25">
      <c r="A185" s="36" t="str">
        <f t="shared" si="3"/>
        <v>5020301000</v>
      </c>
      <c r="B185" s="51" t="s">
        <v>303</v>
      </c>
      <c r="C185" s="61" t="s">
        <v>74</v>
      </c>
      <c r="D185" s="68" t="s">
        <v>361</v>
      </c>
      <c r="E185" s="63" t="s">
        <v>35</v>
      </c>
      <c r="F185" s="39">
        <v>46023</v>
      </c>
      <c r="G185" s="39"/>
      <c r="H185" s="14"/>
      <c r="I185" s="39">
        <v>46357</v>
      </c>
      <c r="J185" s="15" t="s">
        <v>44</v>
      </c>
      <c r="K185" s="41">
        <v>685494</v>
      </c>
      <c r="L185" s="41">
        <v>685494</v>
      </c>
      <c r="M185" s="62"/>
      <c r="N185" s="65"/>
    </row>
    <row r="186" spans="1:14" s="52" customFormat="1" ht="26.4" x14ac:dyDescent="0.25">
      <c r="A186" s="36" t="str">
        <f t="shared" si="3"/>
        <v>5020399000</v>
      </c>
      <c r="B186" s="51" t="s">
        <v>304</v>
      </c>
      <c r="C186" s="61" t="s">
        <v>84</v>
      </c>
      <c r="D186" s="68" t="s">
        <v>361</v>
      </c>
      <c r="E186" s="63" t="s">
        <v>70</v>
      </c>
      <c r="F186" s="39">
        <v>46023</v>
      </c>
      <c r="G186" s="39"/>
      <c r="H186" s="14"/>
      <c r="I186" s="39">
        <v>46357</v>
      </c>
      <c r="J186" s="15" t="s">
        <v>44</v>
      </c>
      <c r="K186" s="41">
        <v>35700</v>
      </c>
      <c r="L186" s="41">
        <v>35700</v>
      </c>
      <c r="M186" s="62"/>
      <c r="N186" s="65"/>
    </row>
    <row r="187" spans="1:14" s="52" customFormat="1" ht="26.4" x14ac:dyDescent="0.25">
      <c r="A187" s="36" t="str">
        <f t="shared" si="3"/>
        <v>5020399000</v>
      </c>
      <c r="B187" s="51" t="s">
        <v>305</v>
      </c>
      <c r="C187" s="61" t="s">
        <v>84</v>
      </c>
      <c r="D187" s="68" t="s">
        <v>361</v>
      </c>
      <c r="E187" s="63" t="s">
        <v>70</v>
      </c>
      <c r="F187" s="39">
        <v>46023</v>
      </c>
      <c r="G187" s="39"/>
      <c r="H187" s="14"/>
      <c r="I187" s="39">
        <v>46357</v>
      </c>
      <c r="J187" s="15" t="s">
        <v>44</v>
      </c>
      <c r="K187" s="41">
        <v>70000</v>
      </c>
      <c r="L187" s="41">
        <v>70000</v>
      </c>
      <c r="M187" s="62"/>
      <c r="N187" s="65"/>
    </row>
    <row r="188" spans="1:14" s="52" customFormat="1" ht="26.4" x14ac:dyDescent="0.25">
      <c r="A188" s="36" t="str">
        <f t="shared" si="3"/>
        <v>5020399000</v>
      </c>
      <c r="B188" s="51" t="s">
        <v>306</v>
      </c>
      <c r="C188" s="61" t="s">
        <v>84</v>
      </c>
      <c r="D188" s="68" t="s">
        <v>361</v>
      </c>
      <c r="E188" s="63" t="s">
        <v>70</v>
      </c>
      <c r="F188" s="39">
        <v>46023</v>
      </c>
      <c r="G188" s="39"/>
      <c r="H188" s="14"/>
      <c r="I188" s="39">
        <v>46357</v>
      </c>
      <c r="J188" s="15" t="s">
        <v>44</v>
      </c>
      <c r="K188" s="41">
        <v>106362</v>
      </c>
      <c r="L188" s="41">
        <v>106362</v>
      </c>
      <c r="M188" s="62"/>
      <c r="N188" s="65"/>
    </row>
    <row r="189" spans="1:14" s="52" customFormat="1" ht="26.4" x14ac:dyDescent="0.25">
      <c r="A189" s="36" t="str">
        <f t="shared" si="3"/>
        <v>5020399000</v>
      </c>
      <c r="B189" s="51" t="s">
        <v>308</v>
      </c>
      <c r="C189" s="61" t="s">
        <v>84</v>
      </c>
      <c r="D189" s="68" t="s">
        <v>307</v>
      </c>
      <c r="E189" s="63" t="s">
        <v>70</v>
      </c>
      <c r="F189" s="39">
        <v>46023</v>
      </c>
      <c r="G189" s="39"/>
      <c r="H189" s="14"/>
      <c r="I189" s="39">
        <v>46357</v>
      </c>
      <c r="J189" s="15" t="s">
        <v>44</v>
      </c>
      <c r="K189" s="41">
        <v>800000</v>
      </c>
      <c r="L189" s="41">
        <v>800000</v>
      </c>
      <c r="M189" s="62"/>
      <c r="N189" s="65"/>
    </row>
    <row r="190" spans="1:14" s="52" customFormat="1" ht="26.4" x14ac:dyDescent="0.25">
      <c r="A190" s="36" t="str">
        <f t="shared" si="3"/>
        <v>5020399000</v>
      </c>
      <c r="B190" s="51" t="s">
        <v>309</v>
      </c>
      <c r="C190" s="61" t="s">
        <v>84</v>
      </c>
      <c r="D190" s="68" t="s">
        <v>362</v>
      </c>
      <c r="E190" s="63" t="s">
        <v>70</v>
      </c>
      <c r="F190" s="39">
        <v>46023</v>
      </c>
      <c r="G190" s="39"/>
      <c r="H190" s="14"/>
      <c r="I190" s="39">
        <v>46357</v>
      </c>
      <c r="J190" s="15" t="s">
        <v>44</v>
      </c>
      <c r="K190" s="41">
        <v>300000</v>
      </c>
      <c r="L190" s="41">
        <v>300000</v>
      </c>
      <c r="M190" s="62"/>
      <c r="N190" s="65"/>
    </row>
    <row r="191" spans="1:14" s="52" customFormat="1" ht="26.4" x14ac:dyDescent="0.25">
      <c r="A191" s="36" t="str">
        <f t="shared" si="3"/>
        <v>5020301000</v>
      </c>
      <c r="B191" s="51" t="s">
        <v>310</v>
      </c>
      <c r="C191" s="61" t="s">
        <v>74</v>
      </c>
      <c r="D191" s="68" t="s">
        <v>362</v>
      </c>
      <c r="E191" s="63" t="s">
        <v>35</v>
      </c>
      <c r="F191" s="39">
        <v>46023</v>
      </c>
      <c r="G191" s="39"/>
      <c r="H191" s="14"/>
      <c r="I191" s="39">
        <v>46357</v>
      </c>
      <c r="J191" s="15" t="s">
        <v>44</v>
      </c>
      <c r="K191" s="41">
        <v>479880</v>
      </c>
      <c r="L191" s="41">
        <v>479880</v>
      </c>
      <c r="M191" s="62"/>
      <c r="N191" s="65"/>
    </row>
    <row r="192" spans="1:14" s="52" customFormat="1" ht="26.4" x14ac:dyDescent="0.25">
      <c r="A192" s="36" t="str">
        <f t="shared" si="3"/>
        <v>5020399000</v>
      </c>
      <c r="B192" s="51" t="s">
        <v>311</v>
      </c>
      <c r="C192" s="61" t="s">
        <v>84</v>
      </c>
      <c r="D192" s="68" t="s">
        <v>362</v>
      </c>
      <c r="E192" s="63" t="s">
        <v>35</v>
      </c>
      <c r="F192" s="39">
        <v>46023</v>
      </c>
      <c r="G192" s="39"/>
      <c r="H192" s="14"/>
      <c r="I192" s="39">
        <v>46357</v>
      </c>
      <c r="J192" s="15" t="s">
        <v>44</v>
      </c>
      <c r="K192" s="41">
        <v>530000</v>
      </c>
      <c r="L192" s="41">
        <v>530000</v>
      </c>
      <c r="M192" s="62"/>
      <c r="N192" s="65"/>
    </row>
    <row r="193" spans="1:14" s="52" customFormat="1" ht="26.4" x14ac:dyDescent="0.25">
      <c r="A193" s="36" t="str">
        <f t="shared" si="3"/>
        <v>5020399000</v>
      </c>
      <c r="B193" s="51" t="s">
        <v>312</v>
      </c>
      <c r="C193" s="61" t="s">
        <v>84</v>
      </c>
      <c r="D193" s="68" t="s">
        <v>362</v>
      </c>
      <c r="E193" s="63" t="s">
        <v>70</v>
      </c>
      <c r="F193" s="39">
        <v>46023</v>
      </c>
      <c r="G193" s="39"/>
      <c r="H193" s="14"/>
      <c r="I193" s="39">
        <v>46357</v>
      </c>
      <c r="J193" s="15" t="s">
        <v>44</v>
      </c>
      <c r="K193" s="41">
        <v>24000</v>
      </c>
      <c r="L193" s="41">
        <v>24000</v>
      </c>
      <c r="M193" s="62"/>
      <c r="N193" s="65"/>
    </row>
    <row r="194" spans="1:14" s="52" customFormat="1" ht="26.4" x14ac:dyDescent="0.25">
      <c r="A194" s="36" t="str">
        <f t="shared" si="3"/>
        <v>5020399000</v>
      </c>
      <c r="B194" s="51" t="s">
        <v>313</v>
      </c>
      <c r="C194" s="61" t="s">
        <v>84</v>
      </c>
      <c r="D194" s="68" t="s">
        <v>104</v>
      </c>
      <c r="E194" s="63" t="s">
        <v>70</v>
      </c>
      <c r="F194" s="39">
        <v>46023</v>
      </c>
      <c r="G194" s="39"/>
      <c r="H194" s="14"/>
      <c r="I194" s="39">
        <v>46357</v>
      </c>
      <c r="J194" s="15" t="s">
        <v>44</v>
      </c>
      <c r="K194" s="41">
        <v>7008</v>
      </c>
      <c r="L194" s="41">
        <v>7008</v>
      </c>
      <c r="M194" s="62"/>
      <c r="N194" s="65"/>
    </row>
    <row r="195" spans="1:14" s="52" customFormat="1" ht="39.6" x14ac:dyDescent="0.25">
      <c r="A195" s="36" t="str">
        <f t="shared" si="3"/>
        <v>5020399000</v>
      </c>
      <c r="B195" s="51" t="s">
        <v>314</v>
      </c>
      <c r="C195" s="61" t="s">
        <v>84</v>
      </c>
      <c r="D195" s="68" t="s">
        <v>104</v>
      </c>
      <c r="E195" s="63" t="s">
        <v>70</v>
      </c>
      <c r="F195" s="39">
        <v>46023</v>
      </c>
      <c r="G195" s="39"/>
      <c r="H195" s="14"/>
      <c r="I195" s="39">
        <v>46357</v>
      </c>
      <c r="J195" s="15" t="s">
        <v>44</v>
      </c>
      <c r="K195" s="41">
        <v>71720</v>
      </c>
      <c r="L195" s="41">
        <v>71720</v>
      </c>
      <c r="M195" s="62"/>
      <c r="N195" s="65"/>
    </row>
    <row r="196" spans="1:14" s="52" customFormat="1" ht="26.4" x14ac:dyDescent="0.25">
      <c r="A196" s="36" t="str">
        <f t="shared" si="3"/>
        <v>5020399000</v>
      </c>
      <c r="B196" s="51" t="s">
        <v>315</v>
      </c>
      <c r="C196" s="61" t="s">
        <v>84</v>
      </c>
      <c r="D196" s="68" t="s">
        <v>104</v>
      </c>
      <c r="E196" s="63" t="s">
        <v>70</v>
      </c>
      <c r="F196" s="39">
        <v>46023</v>
      </c>
      <c r="G196" s="39"/>
      <c r="H196" s="14"/>
      <c r="I196" s="39">
        <v>46357</v>
      </c>
      <c r="J196" s="15" t="s">
        <v>44</v>
      </c>
      <c r="K196" s="41">
        <v>9432</v>
      </c>
      <c r="L196" s="41">
        <v>9432</v>
      </c>
      <c r="M196" s="62"/>
      <c r="N196" s="65"/>
    </row>
    <row r="197" spans="1:14" s="52" customFormat="1" ht="39.6" x14ac:dyDescent="0.25">
      <c r="A197" s="36" t="str">
        <f t="shared" si="3"/>
        <v>5020308000</v>
      </c>
      <c r="B197" s="51" t="s">
        <v>316</v>
      </c>
      <c r="C197" s="61" t="s">
        <v>77</v>
      </c>
      <c r="D197" s="68" t="s">
        <v>104</v>
      </c>
      <c r="E197" s="63" t="s">
        <v>35</v>
      </c>
      <c r="F197" s="39">
        <v>46023</v>
      </c>
      <c r="G197" s="39"/>
      <c r="H197" s="14"/>
      <c r="I197" s="39">
        <v>46357</v>
      </c>
      <c r="J197" s="15" t="s">
        <v>44</v>
      </c>
      <c r="K197" s="41">
        <v>729324</v>
      </c>
      <c r="L197" s="41">
        <v>729324</v>
      </c>
      <c r="M197" s="62"/>
      <c r="N197" s="65"/>
    </row>
    <row r="198" spans="1:14" s="52" customFormat="1" ht="26.4" x14ac:dyDescent="0.25">
      <c r="A198" s="36" t="str">
        <f t="shared" si="3"/>
        <v>5020399000</v>
      </c>
      <c r="B198" s="51" t="s">
        <v>317</v>
      </c>
      <c r="C198" s="61" t="s">
        <v>84</v>
      </c>
      <c r="D198" s="68" t="s">
        <v>104</v>
      </c>
      <c r="E198" s="63" t="s">
        <v>70</v>
      </c>
      <c r="F198" s="39">
        <v>46023</v>
      </c>
      <c r="G198" s="39"/>
      <c r="H198" s="14"/>
      <c r="I198" s="39">
        <v>46357</v>
      </c>
      <c r="J198" s="15" t="s">
        <v>44</v>
      </c>
      <c r="K198" s="41">
        <v>4800</v>
      </c>
      <c r="L198" s="41">
        <v>4800</v>
      </c>
      <c r="M198" s="62"/>
      <c r="N198" s="65"/>
    </row>
    <row r="199" spans="1:14" s="52" customFormat="1" ht="26.4" x14ac:dyDescent="0.25">
      <c r="A199" s="36" t="str">
        <f t="shared" ref="A199:A240" si="4">C199</f>
        <v>5020301000</v>
      </c>
      <c r="B199" s="51" t="s">
        <v>318</v>
      </c>
      <c r="C199" s="61" t="s">
        <v>74</v>
      </c>
      <c r="D199" s="68" t="s">
        <v>104</v>
      </c>
      <c r="E199" s="63" t="s">
        <v>70</v>
      </c>
      <c r="F199" s="39">
        <v>46023</v>
      </c>
      <c r="G199" s="39"/>
      <c r="H199" s="14"/>
      <c r="I199" s="39">
        <v>46357</v>
      </c>
      <c r="J199" s="15" t="s">
        <v>44</v>
      </c>
      <c r="K199" s="41">
        <v>25716</v>
      </c>
      <c r="L199" s="41">
        <v>25716</v>
      </c>
      <c r="M199" s="62"/>
      <c r="N199" s="65"/>
    </row>
    <row r="200" spans="1:14" s="52" customFormat="1" ht="26.4" x14ac:dyDescent="0.25">
      <c r="A200" s="36" t="str">
        <f t="shared" si="4"/>
        <v>5020399000</v>
      </c>
      <c r="B200" s="51" t="s">
        <v>319</v>
      </c>
      <c r="C200" s="61" t="s">
        <v>84</v>
      </c>
      <c r="D200" s="68" t="s">
        <v>363</v>
      </c>
      <c r="E200" s="63" t="s">
        <v>35</v>
      </c>
      <c r="F200" s="39">
        <v>46023</v>
      </c>
      <c r="G200" s="39"/>
      <c r="H200" s="14"/>
      <c r="I200" s="39">
        <v>46357</v>
      </c>
      <c r="J200" s="15" t="s">
        <v>44</v>
      </c>
      <c r="K200" s="41">
        <v>32976</v>
      </c>
      <c r="L200" s="41">
        <v>32976</v>
      </c>
      <c r="M200" s="62"/>
      <c r="N200" s="65"/>
    </row>
    <row r="201" spans="1:14" s="52" customFormat="1" ht="26.4" x14ac:dyDescent="0.25">
      <c r="A201" s="36" t="str">
        <f t="shared" si="4"/>
        <v>5020399000</v>
      </c>
      <c r="B201" s="51" t="s">
        <v>320</v>
      </c>
      <c r="C201" s="61" t="s">
        <v>84</v>
      </c>
      <c r="D201" s="68" t="s">
        <v>363</v>
      </c>
      <c r="E201" s="63" t="s">
        <v>35</v>
      </c>
      <c r="F201" s="39">
        <v>46023</v>
      </c>
      <c r="G201" s="39"/>
      <c r="H201" s="14"/>
      <c r="I201" s="39">
        <v>46357</v>
      </c>
      <c r="J201" s="15" t="s">
        <v>44</v>
      </c>
      <c r="K201" s="41">
        <v>56304</v>
      </c>
      <c r="L201" s="41">
        <v>56304</v>
      </c>
      <c r="M201" s="62"/>
      <c r="N201" s="65"/>
    </row>
    <row r="202" spans="1:14" s="52" customFormat="1" ht="26.4" x14ac:dyDescent="0.25">
      <c r="A202" s="36" t="str">
        <f t="shared" si="4"/>
        <v>5020399000</v>
      </c>
      <c r="B202" s="51" t="s">
        <v>321</v>
      </c>
      <c r="C202" s="61" t="s">
        <v>84</v>
      </c>
      <c r="D202" s="68" t="s">
        <v>363</v>
      </c>
      <c r="E202" s="63" t="s">
        <v>35</v>
      </c>
      <c r="F202" s="39">
        <v>46023</v>
      </c>
      <c r="G202" s="39"/>
      <c r="H202" s="14"/>
      <c r="I202" s="39">
        <v>46357</v>
      </c>
      <c r="J202" s="15" t="s">
        <v>44</v>
      </c>
      <c r="K202" s="41">
        <v>855230</v>
      </c>
      <c r="L202" s="41">
        <v>855230</v>
      </c>
      <c r="M202" s="62"/>
      <c r="N202" s="65"/>
    </row>
    <row r="203" spans="1:14" s="52" customFormat="1" ht="26.4" x14ac:dyDescent="0.25">
      <c r="A203" s="36" t="str">
        <f t="shared" si="4"/>
        <v>5020321002</v>
      </c>
      <c r="B203" s="51" t="s">
        <v>322</v>
      </c>
      <c r="C203" s="61" t="s">
        <v>82</v>
      </c>
      <c r="D203" s="68" t="s">
        <v>364</v>
      </c>
      <c r="E203" s="63" t="s">
        <v>70</v>
      </c>
      <c r="F203" s="39">
        <v>46023</v>
      </c>
      <c r="G203" s="39"/>
      <c r="H203" s="14"/>
      <c r="I203" s="39">
        <v>46357</v>
      </c>
      <c r="J203" s="15" t="s">
        <v>44</v>
      </c>
      <c r="K203" s="41">
        <v>18032.240000000002</v>
      </c>
      <c r="L203" s="41">
        <v>18032.240000000002</v>
      </c>
      <c r="M203" s="62"/>
      <c r="N203" s="65"/>
    </row>
    <row r="204" spans="1:14" s="52" customFormat="1" ht="26.4" x14ac:dyDescent="0.25">
      <c r="A204" s="36" t="str">
        <f t="shared" si="4"/>
        <v>5020399000</v>
      </c>
      <c r="B204" s="51" t="s">
        <v>323</v>
      </c>
      <c r="C204" s="61" t="s">
        <v>84</v>
      </c>
      <c r="D204" s="68" t="s">
        <v>364</v>
      </c>
      <c r="E204" s="63" t="s">
        <v>70</v>
      </c>
      <c r="F204" s="39">
        <v>46023</v>
      </c>
      <c r="G204" s="39"/>
      <c r="H204" s="14"/>
      <c r="I204" s="39">
        <v>46357</v>
      </c>
      <c r="J204" s="15" t="s">
        <v>44</v>
      </c>
      <c r="K204" s="41">
        <v>9500</v>
      </c>
      <c r="L204" s="41">
        <v>9500</v>
      </c>
      <c r="M204" s="62"/>
      <c r="N204" s="65"/>
    </row>
    <row r="205" spans="1:14" s="52" customFormat="1" ht="52.8" x14ac:dyDescent="0.25">
      <c r="A205" s="36" t="str">
        <f t="shared" si="4"/>
        <v>5021601000</v>
      </c>
      <c r="B205" s="51" t="s">
        <v>324</v>
      </c>
      <c r="C205" s="61" t="s">
        <v>88</v>
      </c>
      <c r="D205" s="68" t="s">
        <v>364</v>
      </c>
      <c r="E205" s="63" t="s">
        <v>35</v>
      </c>
      <c r="F205" s="39">
        <v>46023</v>
      </c>
      <c r="G205" s="39"/>
      <c r="H205" s="14"/>
      <c r="I205" s="39">
        <v>46357</v>
      </c>
      <c r="J205" s="15" t="s">
        <v>44</v>
      </c>
      <c r="K205" s="41">
        <v>175000</v>
      </c>
      <c r="L205" s="41">
        <v>175000</v>
      </c>
      <c r="M205" s="62"/>
      <c r="N205" s="65"/>
    </row>
    <row r="206" spans="1:14" s="52" customFormat="1" ht="26.4" x14ac:dyDescent="0.25">
      <c r="A206" s="36" t="str">
        <f t="shared" si="4"/>
        <v>5020307000</v>
      </c>
      <c r="B206" s="51" t="s">
        <v>325</v>
      </c>
      <c r="C206" s="61" t="s">
        <v>76</v>
      </c>
      <c r="D206" s="68" t="s">
        <v>364</v>
      </c>
      <c r="E206" s="63" t="s">
        <v>35</v>
      </c>
      <c r="F206" s="39">
        <v>46023</v>
      </c>
      <c r="G206" s="39"/>
      <c r="H206" s="14"/>
      <c r="I206" s="39">
        <v>46357</v>
      </c>
      <c r="J206" s="15" t="s">
        <v>44</v>
      </c>
      <c r="K206" s="41">
        <v>599280</v>
      </c>
      <c r="L206" s="41">
        <v>599280</v>
      </c>
      <c r="M206" s="62"/>
      <c r="N206" s="65"/>
    </row>
    <row r="207" spans="1:14" s="52" customFormat="1" ht="26.4" x14ac:dyDescent="0.25">
      <c r="A207" s="36" t="str">
        <f t="shared" si="4"/>
        <v>5029902000</v>
      </c>
      <c r="B207" s="51" t="s">
        <v>326</v>
      </c>
      <c r="C207" s="61" t="s">
        <v>89</v>
      </c>
      <c r="D207" s="68" t="s">
        <v>364</v>
      </c>
      <c r="E207" s="63" t="s">
        <v>45</v>
      </c>
      <c r="F207" s="39">
        <v>46023</v>
      </c>
      <c r="G207" s="39"/>
      <c r="H207" s="14"/>
      <c r="I207" s="39">
        <v>46357</v>
      </c>
      <c r="J207" s="15" t="s">
        <v>44</v>
      </c>
      <c r="K207" s="41">
        <v>5050</v>
      </c>
      <c r="L207" s="41">
        <v>5050</v>
      </c>
      <c r="M207" s="62"/>
      <c r="N207" s="65"/>
    </row>
    <row r="208" spans="1:14" s="52" customFormat="1" ht="26.4" x14ac:dyDescent="0.25">
      <c r="A208" s="36" t="str">
        <f t="shared" si="4"/>
        <v>5020399000</v>
      </c>
      <c r="B208" s="51" t="s">
        <v>327</v>
      </c>
      <c r="C208" s="61" t="s">
        <v>84</v>
      </c>
      <c r="D208" s="68" t="s">
        <v>364</v>
      </c>
      <c r="E208" s="63" t="s">
        <v>70</v>
      </c>
      <c r="F208" s="39">
        <v>46023</v>
      </c>
      <c r="G208" s="39"/>
      <c r="H208" s="14"/>
      <c r="I208" s="39">
        <v>46357</v>
      </c>
      <c r="J208" s="15" t="s">
        <v>44</v>
      </c>
      <c r="K208" s="41">
        <v>80100</v>
      </c>
      <c r="L208" s="41">
        <v>80100</v>
      </c>
      <c r="M208" s="62"/>
      <c r="N208" s="65"/>
    </row>
    <row r="209" spans="1:14" s="52" customFormat="1" ht="26.4" x14ac:dyDescent="0.25">
      <c r="A209" s="36" t="str">
        <f t="shared" si="4"/>
        <v>5020399000</v>
      </c>
      <c r="B209" s="51" t="s">
        <v>328</v>
      </c>
      <c r="C209" s="61" t="s">
        <v>84</v>
      </c>
      <c r="D209" s="68" t="s">
        <v>364</v>
      </c>
      <c r="E209" s="63" t="s">
        <v>70</v>
      </c>
      <c r="F209" s="39">
        <v>46023</v>
      </c>
      <c r="G209" s="39"/>
      <c r="H209" s="14"/>
      <c r="I209" s="39">
        <v>46357</v>
      </c>
      <c r="J209" s="15" t="s">
        <v>44</v>
      </c>
      <c r="K209" s="41">
        <v>45000</v>
      </c>
      <c r="L209" s="41">
        <v>45000</v>
      </c>
      <c r="M209" s="62"/>
      <c r="N209" s="65"/>
    </row>
    <row r="210" spans="1:14" s="52" customFormat="1" ht="26.4" x14ac:dyDescent="0.25">
      <c r="A210" s="36" t="str">
        <f t="shared" si="4"/>
        <v>5020308000</v>
      </c>
      <c r="B210" s="51" t="s">
        <v>329</v>
      </c>
      <c r="C210" s="61" t="s">
        <v>77</v>
      </c>
      <c r="D210" s="68" t="s">
        <v>364</v>
      </c>
      <c r="E210" s="63" t="s">
        <v>35</v>
      </c>
      <c r="F210" s="39">
        <v>46023</v>
      </c>
      <c r="G210" s="39"/>
      <c r="H210" s="14"/>
      <c r="I210" s="39">
        <v>46357</v>
      </c>
      <c r="J210" s="15" t="s">
        <v>44</v>
      </c>
      <c r="K210" s="41">
        <v>190100</v>
      </c>
      <c r="L210" s="41">
        <v>190100</v>
      </c>
      <c r="M210" s="62"/>
      <c r="N210" s="65"/>
    </row>
    <row r="211" spans="1:14" s="52" customFormat="1" ht="39.6" x14ac:dyDescent="0.25">
      <c r="A211" s="36" t="str">
        <f t="shared" si="4"/>
        <v>5020308000</v>
      </c>
      <c r="B211" s="51" t="s">
        <v>330</v>
      </c>
      <c r="C211" s="61" t="s">
        <v>77</v>
      </c>
      <c r="D211" s="68" t="s">
        <v>364</v>
      </c>
      <c r="E211" s="63" t="s">
        <v>35</v>
      </c>
      <c r="F211" s="39">
        <v>46023</v>
      </c>
      <c r="G211" s="39"/>
      <c r="H211" s="14"/>
      <c r="I211" s="39">
        <v>46357</v>
      </c>
      <c r="J211" s="15" t="s">
        <v>44</v>
      </c>
      <c r="K211" s="41">
        <v>104700</v>
      </c>
      <c r="L211" s="41">
        <v>104700</v>
      </c>
      <c r="M211" s="62"/>
      <c r="N211" s="65"/>
    </row>
    <row r="212" spans="1:14" s="52" customFormat="1" ht="26.4" x14ac:dyDescent="0.25">
      <c r="A212" s="36" t="str">
        <f t="shared" si="4"/>
        <v>5020301000</v>
      </c>
      <c r="B212" s="51" t="s">
        <v>331</v>
      </c>
      <c r="C212" s="61" t="s">
        <v>74</v>
      </c>
      <c r="D212" s="68" t="s">
        <v>364</v>
      </c>
      <c r="E212" s="63" t="s">
        <v>70</v>
      </c>
      <c r="F212" s="39">
        <v>46023</v>
      </c>
      <c r="G212" s="39"/>
      <c r="H212" s="14"/>
      <c r="I212" s="39">
        <v>46357</v>
      </c>
      <c r="J212" s="15" t="s">
        <v>44</v>
      </c>
      <c r="K212" s="41">
        <v>53653</v>
      </c>
      <c r="L212" s="41">
        <v>53653</v>
      </c>
      <c r="M212" s="62"/>
      <c r="N212" s="65"/>
    </row>
    <row r="213" spans="1:14" s="52" customFormat="1" ht="26.4" x14ac:dyDescent="0.25">
      <c r="A213" s="36" t="str">
        <f t="shared" si="4"/>
        <v>5029902000</v>
      </c>
      <c r="B213" s="51" t="s">
        <v>332</v>
      </c>
      <c r="C213" s="61" t="s">
        <v>89</v>
      </c>
      <c r="D213" s="68" t="s">
        <v>364</v>
      </c>
      <c r="E213" s="63" t="s">
        <v>70</v>
      </c>
      <c r="F213" s="39">
        <v>46023</v>
      </c>
      <c r="G213" s="39"/>
      <c r="H213" s="14"/>
      <c r="I213" s="39">
        <v>46357</v>
      </c>
      <c r="J213" s="15" t="s">
        <v>44</v>
      </c>
      <c r="K213" s="41">
        <v>6500</v>
      </c>
      <c r="L213" s="41">
        <v>6500</v>
      </c>
      <c r="M213" s="62"/>
      <c r="N213" s="65"/>
    </row>
    <row r="214" spans="1:14" s="52" customFormat="1" ht="26.4" x14ac:dyDescent="0.25">
      <c r="A214" s="36" t="str">
        <f t="shared" si="4"/>
        <v>5020307000</v>
      </c>
      <c r="B214" s="51" t="s">
        <v>325</v>
      </c>
      <c r="C214" s="61" t="s">
        <v>76</v>
      </c>
      <c r="D214" s="68" t="s">
        <v>364</v>
      </c>
      <c r="E214" s="63" t="s">
        <v>35</v>
      </c>
      <c r="F214" s="39">
        <v>46023</v>
      </c>
      <c r="G214" s="39"/>
      <c r="H214" s="14"/>
      <c r="I214" s="39">
        <v>46357</v>
      </c>
      <c r="J214" s="15" t="s">
        <v>44</v>
      </c>
      <c r="K214" s="41">
        <v>329060</v>
      </c>
      <c r="L214" s="41">
        <v>329060</v>
      </c>
      <c r="M214" s="62"/>
      <c r="N214" s="65"/>
    </row>
    <row r="215" spans="1:14" s="52" customFormat="1" ht="26.4" x14ac:dyDescent="0.25">
      <c r="A215" s="36" t="str">
        <f t="shared" si="4"/>
        <v>5020399000</v>
      </c>
      <c r="B215" s="51" t="s">
        <v>333</v>
      </c>
      <c r="C215" s="61" t="s">
        <v>84</v>
      </c>
      <c r="D215" s="68" t="s">
        <v>364</v>
      </c>
      <c r="E215" s="63" t="s">
        <v>35</v>
      </c>
      <c r="F215" s="39">
        <v>46023</v>
      </c>
      <c r="G215" s="39"/>
      <c r="H215" s="14"/>
      <c r="I215" s="39">
        <v>46357</v>
      </c>
      <c r="J215" s="15" t="s">
        <v>44</v>
      </c>
      <c r="K215" s="41">
        <v>49000</v>
      </c>
      <c r="L215" s="41">
        <v>49000</v>
      </c>
      <c r="M215" s="62"/>
      <c r="N215" s="65"/>
    </row>
    <row r="216" spans="1:14" s="52" customFormat="1" ht="39.6" x14ac:dyDescent="0.25">
      <c r="A216" s="36" t="str">
        <f t="shared" si="4"/>
        <v>5020308000</v>
      </c>
      <c r="B216" s="51" t="s">
        <v>330</v>
      </c>
      <c r="C216" s="61" t="s">
        <v>77</v>
      </c>
      <c r="D216" s="68" t="s">
        <v>364</v>
      </c>
      <c r="E216" s="63" t="s">
        <v>35</v>
      </c>
      <c r="F216" s="39">
        <v>46023</v>
      </c>
      <c r="G216" s="39"/>
      <c r="H216" s="14"/>
      <c r="I216" s="39">
        <v>46357</v>
      </c>
      <c r="J216" s="15" t="s">
        <v>44</v>
      </c>
      <c r="K216" s="41">
        <v>76250</v>
      </c>
      <c r="L216" s="41">
        <v>76250</v>
      </c>
      <c r="M216" s="62"/>
      <c r="N216" s="65"/>
    </row>
    <row r="217" spans="1:14" s="52" customFormat="1" ht="26.4" x14ac:dyDescent="0.25">
      <c r="A217" s="36" t="str">
        <f t="shared" si="4"/>
        <v>5020399000</v>
      </c>
      <c r="B217" s="51" t="s">
        <v>334</v>
      </c>
      <c r="C217" s="61" t="s">
        <v>84</v>
      </c>
      <c r="D217" s="68" t="s">
        <v>364</v>
      </c>
      <c r="E217" s="63" t="s">
        <v>35</v>
      </c>
      <c r="F217" s="39">
        <v>46023</v>
      </c>
      <c r="G217" s="39"/>
      <c r="H217" s="14"/>
      <c r="I217" s="39">
        <v>46357</v>
      </c>
      <c r="J217" s="15" t="s">
        <v>44</v>
      </c>
      <c r="K217" s="41">
        <v>17000</v>
      </c>
      <c r="L217" s="41">
        <v>17000</v>
      </c>
      <c r="M217" s="62"/>
      <c r="N217" s="65"/>
    </row>
    <row r="218" spans="1:14" s="52" customFormat="1" ht="26.4" x14ac:dyDescent="0.25">
      <c r="A218" s="36" t="str">
        <f t="shared" si="4"/>
        <v>5020399000</v>
      </c>
      <c r="B218" s="51" t="s">
        <v>336</v>
      </c>
      <c r="C218" s="61" t="s">
        <v>84</v>
      </c>
      <c r="D218" s="68" t="s">
        <v>335</v>
      </c>
      <c r="E218" s="63" t="s">
        <v>70</v>
      </c>
      <c r="F218" s="39">
        <v>46023</v>
      </c>
      <c r="G218" s="39"/>
      <c r="H218" s="14"/>
      <c r="I218" s="39">
        <v>46357</v>
      </c>
      <c r="J218" s="15" t="s">
        <v>44</v>
      </c>
      <c r="K218" s="41">
        <v>2600</v>
      </c>
      <c r="L218" s="41">
        <v>2600</v>
      </c>
      <c r="M218" s="62"/>
      <c r="N218" s="65"/>
    </row>
    <row r="219" spans="1:14" s="52" customFormat="1" ht="26.4" x14ac:dyDescent="0.25">
      <c r="A219" s="36" t="str">
        <f t="shared" si="4"/>
        <v>5020399000</v>
      </c>
      <c r="B219" s="51" t="s">
        <v>337</v>
      </c>
      <c r="C219" s="61" t="s">
        <v>84</v>
      </c>
      <c r="D219" s="68" t="s">
        <v>335</v>
      </c>
      <c r="E219" s="63" t="s">
        <v>70</v>
      </c>
      <c r="F219" s="39">
        <v>46023</v>
      </c>
      <c r="G219" s="39"/>
      <c r="H219" s="14"/>
      <c r="I219" s="39">
        <v>46357</v>
      </c>
      <c r="J219" s="15" t="s">
        <v>44</v>
      </c>
      <c r="K219" s="41">
        <v>19500</v>
      </c>
      <c r="L219" s="41">
        <v>19500</v>
      </c>
      <c r="M219" s="62"/>
      <c r="N219" s="65"/>
    </row>
    <row r="220" spans="1:14" s="52" customFormat="1" ht="26.4" x14ac:dyDescent="0.25">
      <c r="A220" s="36" t="str">
        <f t="shared" si="4"/>
        <v>5020399000</v>
      </c>
      <c r="B220" s="51" t="s">
        <v>338</v>
      </c>
      <c r="C220" s="61" t="s">
        <v>84</v>
      </c>
      <c r="D220" s="68" t="s">
        <v>335</v>
      </c>
      <c r="E220" s="63" t="s">
        <v>70</v>
      </c>
      <c r="F220" s="39">
        <v>46023</v>
      </c>
      <c r="G220" s="39"/>
      <c r="H220" s="14"/>
      <c r="I220" s="39">
        <v>46357</v>
      </c>
      <c r="J220" s="15" t="s">
        <v>44</v>
      </c>
      <c r="K220" s="41">
        <v>19200</v>
      </c>
      <c r="L220" s="41">
        <v>19200</v>
      </c>
      <c r="M220" s="62"/>
      <c r="N220" s="65"/>
    </row>
    <row r="221" spans="1:14" s="52" customFormat="1" ht="26.4" x14ac:dyDescent="0.25">
      <c r="A221" s="36" t="str">
        <f t="shared" si="4"/>
        <v>5020399000</v>
      </c>
      <c r="B221" s="51" t="s">
        <v>339</v>
      </c>
      <c r="C221" s="61" t="s">
        <v>84</v>
      </c>
      <c r="D221" s="68" t="s">
        <v>335</v>
      </c>
      <c r="E221" s="63" t="s">
        <v>70</v>
      </c>
      <c r="F221" s="39">
        <v>46023</v>
      </c>
      <c r="G221" s="39"/>
      <c r="H221" s="14"/>
      <c r="I221" s="39">
        <v>46357</v>
      </c>
      <c r="J221" s="15" t="s">
        <v>44</v>
      </c>
      <c r="K221" s="41">
        <v>200000</v>
      </c>
      <c r="L221" s="41">
        <v>200000</v>
      </c>
      <c r="M221" s="62"/>
      <c r="N221" s="65"/>
    </row>
    <row r="222" spans="1:14" s="52" customFormat="1" ht="26.4" x14ac:dyDescent="0.25">
      <c r="A222" s="36" t="str">
        <f t="shared" si="4"/>
        <v>5020399000</v>
      </c>
      <c r="B222" s="51" t="s">
        <v>340</v>
      </c>
      <c r="C222" s="61" t="s">
        <v>84</v>
      </c>
      <c r="D222" s="68" t="s">
        <v>335</v>
      </c>
      <c r="E222" s="63" t="s">
        <v>35</v>
      </c>
      <c r="F222" s="39">
        <v>46023</v>
      </c>
      <c r="G222" s="39"/>
      <c r="H222" s="14"/>
      <c r="I222" s="39">
        <v>46357</v>
      </c>
      <c r="J222" s="15" t="s">
        <v>44</v>
      </c>
      <c r="K222" s="41">
        <v>75000</v>
      </c>
      <c r="L222" s="41">
        <v>75000</v>
      </c>
      <c r="M222" s="62"/>
      <c r="N222" s="65"/>
    </row>
    <row r="223" spans="1:14" s="52" customFormat="1" ht="26.4" x14ac:dyDescent="0.25">
      <c r="A223" s="36" t="str">
        <f t="shared" si="4"/>
        <v>5020301000</v>
      </c>
      <c r="B223" s="51" t="s">
        <v>341</v>
      </c>
      <c r="C223" s="61" t="s">
        <v>74</v>
      </c>
      <c r="D223" s="68" t="s">
        <v>335</v>
      </c>
      <c r="E223" s="63" t="s">
        <v>70</v>
      </c>
      <c r="F223" s="39">
        <v>46023</v>
      </c>
      <c r="G223" s="39"/>
      <c r="H223" s="14"/>
      <c r="I223" s="39">
        <v>46357</v>
      </c>
      <c r="J223" s="15" t="s">
        <v>44</v>
      </c>
      <c r="K223" s="41">
        <v>6032</v>
      </c>
      <c r="L223" s="41">
        <v>6032</v>
      </c>
      <c r="M223" s="62"/>
      <c r="N223" s="65"/>
    </row>
    <row r="224" spans="1:14" s="52" customFormat="1" ht="26.4" x14ac:dyDescent="0.25">
      <c r="A224" s="36" t="str">
        <f t="shared" si="4"/>
        <v>5020321002</v>
      </c>
      <c r="B224" s="51" t="s">
        <v>342</v>
      </c>
      <c r="C224" s="61" t="s">
        <v>82</v>
      </c>
      <c r="D224" s="68" t="s">
        <v>335</v>
      </c>
      <c r="E224" s="63" t="s">
        <v>70</v>
      </c>
      <c r="F224" s="39">
        <v>46023</v>
      </c>
      <c r="G224" s="39"/>
      <c r="H224" s="14"/>
      <c r="I224" s="39">
        <v>46357</v>
      </c>
      <c r="J224" s="15" t="s">
        <v>44</v>
      </c>
      <c r="K224" s="41">
        <v>1450</v>
      </c>
      <c r="L224" s="41">
        <v>1450</v>
      </c>
      <c r="M224" s="62"/>
      <c r="N224" s="65"/>
    </row>
    <row r="225" spans="1:14" s="52" customFormat="1" ht="26.4" x14ac:dyDescent="0.25">
      <c r="A225" s="36" t="str">
        <f t="shared" si="4"/>
        <v>5020311001</v>
      </c>
      <c r="B225" s="51" t="s">
        <v>344</v>
      </c>
      <c r="C225" s="61" t="s">
        <v>80</v>
      </c>
      <c r="D225" s="68" t="s">
        <v>343</v>
      </c>
      <c r="E225" s="63" t="s">
        <v>41</v>
      </c>
      <c r="F225" s="39">
        <v>46023</v>
      </c>
      <c r="G225" s="39"/>
      <c r="H225" s="14"/>
      <c r="I225" s="39">
        <v>46357</v>
      </c>
      <c r="J225" s="15" t="s">
        <v>44</v>
      </c>
      <c r="K225" s="41">
        <v>1000000</v>
      </c>
      <c r="L225" s="41">
        <v>1000000</v>
      </c>
      <c r="M225" s="62"/>
      <c r="N225" s="65"/>
    </row>
    <row r="226" spans="1:14" s="52" customFormat="1" ht="26.4" x14ac:dyDescent="0.25">
      <c r="A226" s="36" t="str">
        <f t="shared" si="4"/>
        <v>5020399000</v>
      </c>
      <c r="B226" s="51" t="s">
        <v>345</v>
      </c>
      <c r="C226" s="61" t="s">
        <v>84</v>
      </c>
      <c r="D226" s="68" t="s">
        <v>343</v>
      </c>
      <c r="E226" s="63" t="s">
        <v>70</v>
      </c>
      <c r="F226" s="39">
        <v>46023</v>
      </c>
      <c r="G226" s="39"/>
      <c r="H226" s="14"/>
      <c r="I226" s="39">
        <v>46357</v>
      </c>
      <c r="J226" s="15" t="s">
        <v>44</v>
      </c>
      <c r="K226" s="41">
        <v>9768</v>
      </c>
      <c r="L226" s="41">
        <v>9768</v>
      </c>
      <c r="M226" s="62"/>
      <c r="N226" s="65"/>
    </row>
    <row r="227" spans="1:14" s="52" customFormat="1" ht="26.4" x14ac:dyDescent="0.25">
      <c r="A227" s="36" t="str">
        <f t="shared" si="4"/>
        <v>5020399000</v>
      </c>
      <c r="B227" s="51" t="s">
        <v>346</v>
      </c>
      <c r="C227" s="61" t="s">
        <v>84</v>
      </c>
      <c r="D227" s="68" t="s">
        <v>343</v>
      </c>
      <c r="E227" s="63" t="s">
        <v>70</v>
      </c>
      <c r="F227" s="39">
        <v>46023</v>
      </c>
      <c r="G227" s="39"/>
      <c r="H227" s="14"/>
      <c r="I227" s="39">
        <v>46357</v>
      </c>
      <c r="J227" s="15" t="s">
        <v>44</v>
      </c>
      <c r="K227" s="41">
        <v>1128</v>
      </c>
      <c r="L227" s="41">
        <v>1128</v>
      </c>
      <c r="M227" s="62"/>
      <c r="N227" s="65"/>
    </row>
    <row r="228" spans="1:14" s="52" customFormat="1" ht="26.4" x14ac:dyDescent="0.25">
      <c r="A228" s="36" t="str">
        <f t="shared" si="4"/>
        <v>5020399000</v>
      </c>
      <c r="B228" s="51" t="s">
        <v>347</v>
      </c>
      <c r="C228" s="61" t="s">
        <v>84</v>
      </c>
      <c r="D228" s="68" t="s">
        <v>343</v>
      </c>
      <c r="E228" s="63" t="s">
        <v>70</v>
      </c>
      <c r="F228" s="39">
        <v>46023</v>
      </c>
      <c r="G228" s="39"/>
      <c r="H228" s="14"/>
      <c r="I228" s="39">
        <v>46357</v>
      </c>
      <c r="J228" s="15" t="s">
        <v>44</v>
      </c>
      <c r="K228" s="41">
        <v>1997</v>
      </c>
      <c r="L228" s="41">
        <v>1997</v>
      </c>
      <c r="M228" s="62"/>
      <c r="N228" s="65"/>
    </row>
    <row r="229" spans="1:14" s="52" customFormat="1" ht="26.4" x14ac:dyDescent="0.25">
      <c r="A229" s="36" t="str">
        <f t="shared" si="4"/>
        <v>5020399000</v>
      </c>
      <c r="B229" s="51" t="s">
        <v>348</v>
      </c>
      <c r="C229" s="61" t="s">
        <v>84</v>
      </c>
      <c r="D229" s="68" t="s">
        <v>343</v>
      </c>
      <c r="E229" s="63" t="s">
        <v>70</v>
      </c>
      <c r="F229" s="39">
        <v>46023</v>
      </c>
      <c r="G229" s="39"/>
      <c r="H229" s="14"/>
      <c r="I229" s="39">
        <v>46357</v>
      </c>
      <c r="J229" s="15" t="s">
        <v>44</v>
      </c>
      <c r="K229" s="41">
        <v>149500</v>
      </c>
      <c r="L229" s="41">
        <v>149500</v>
      </c>
      <c r="M229" s="62"/>
      <c r="N229" s="65"/>
    </row>
    <row r="230" spans="1:14" s="52" customFormat="1" ht="26.4" x14ac:dyDescent="0.25">
      <c r="A230" s="36" t="str">
        <f t="shared" si="4"/>
        <v>5020301000</v>
      </c>
      <c r="B230" s="51" t="s">
        <v>349</v>
      </c>
      <c r="C230" s="61" t="s">
        <v>74</v>
      </c>
      <c r="D230" s="68" t="s">
        <v>343</v>
      </c>
      <c r="E230" s="63" t="s">
        <v>70</v>
      </c>
      <c r="F230" s="39">
        <v>46023</v>
      </c>
      <c r="G230" s="39"/>
      <c r="H230" s="14"/>
      <c r="I230" s="39">
        <v>46357</v>
      </c>
      <c r="J230" s="15" t="s">
        <v>44</v>
      </c>
      <c r="K230" s="41">
        <v>22848</v>
      </c>
      <c r="L230" s="41">
        <v>22848</v>
      </c>
      <c r="M230" s="62"/>
      <c r="N230" s="65"/>
    </row>
    <row r="231" spans="1:14" s="52" customFormat="1" ht="26.4" x14ac:dyDescent="0.25">
      <c r="A231" s="36" t="str">
        <f t="shared" si="4"/>
        <v>5020399000</v>
      </c>
      <c r="B231" s="51" t="s">
        <v>350</v>
      </c>
      <c r="C231" s="61" t="s">
        <v>84</v>
      </c>
      <c r="D231" s="68" t="s">
        <v>365</v>
      </c>
      <c r="E231" s="63" t="s">
        <v>70</v>
      </c>
      <c r="F231" s="39">
        <v>46023</v>
      </c>
      <c r="G231" s="39"/>
      <c r="H231" s="14"/>
      <c r="I231" s="39">
        <v>46357</v>
      </c>
      <c r="J231" s="15" t="s">
        <v>44</v>
      </c>
      <c r="K231" s="41">
        <v>202754</v>
      </c>
      <c r="L231" s="41">
        <v>202754</v>
      </c>
      <c r="M231" s="62"/>
      <c r="N231" s="65"/>
    </row>
    <row r="232" spans="1:14" s="52" customFormat="1" ht="26.4" x14ac:dyDescent="0.25">
      <c r="A232" s="36" t="str">
        <f t="shared" si="4"/>
        <v>5020399000</v>
      </c>
      <c r="B232" s="51" t="s">
        <v>351</v>
      </c>
      <c r="C232" s="61" t="s">
        <v>84</v>
      </c>
      <c r="D232" s="68" t="s">
        <v>365</v>
      </c>
      <c r="E232" s="63" t="s">
        <v>70</v>
      </c>
      <c r="F232" s="39">
        <v>46023</v>
      </c>
      <c r="G232" s="39"/>
      <c r="H232" s="14"/>
      <c r="I232" s="39">
        <v>46357</v>
      </c>
      <c r="J232" s="15" t="s">
        <v>44</v>
      </c>
      <c r="K232" s="41">
        <v>334208</v>
      </c>
      <c r="L232" s="41">
        <v>334208</v>
      </c>
      <c r="M232" s="62"/>
      <c r="N232" s="65"/>
    </row>
    <row r="233" spans="1:14" s="52" customFormat="1" ht="26.4" x14ac:dyDescent="0.25">
      <c r="A233" s="36" t="str">
        <f t="shared" si="4"/>
        <v>5029903000</v>
      </c>
      <c r="B233" s="51" t="s">
        <v>353</v>
      </c>
      <c r="C233" s="61" t="s">
        <v>90</v>
      </c>
      <c r="D233" s="68" t="s">
        <v>352</v>
      </c>
      <c r="E233" s="63" t="s">
        <v>35</v>
      </c>
      <c r="F233" s="39">
        <v>46023</v>
      </c>
      <c r="G233" s="39"/>
      <c r="H233" s="14"/>
      <c r="I233" s="39">
        <v>46357</v>
      </c>
      <c r="J233" s="15" t="s">
        <v>44</v>
      </c>
      <c r="K233" s="41">
        <v>1400000</v>
      </c>
      <c r="L233" s="41">
        <v>1400000</v>
      </c>
      <c r="M233" s="62"/>
      <c r="N233" s="65"/>
    </row>
    <row r="234" spans="1:14" s="52" customFormat="1" ht="26.4" x14ac:dyDescent="0.25">
      <c r="A234" s="36" t="str">
        <f t="shared" si="4"/>
        <v>5020399000</v>
      </c>
      <c r="B234" s="51" t="s">
        <v>354</v>
      </c>
      <c r="C234" s="61" t="s">
        <v>84</v>
      </c>
      <c r="D234" s="68" t="s">
        <v>352</v>
      </c>
      <c r="E234" s="63" t="s">
        <v>70</v>
      </c>
      <c r="F234" s="39">
        <v>46023</v>
      </c>
      <c r="G234" s="39"/>
      <c r="H234" s="14"/>
      <c r="I234" s="39">
        <v>46357</v>
      </c>
      <c r="J234" s="15" t="s">
        <v>44</v>
      </c>
      <c r="K234" s="41">
        <v>6238</v>
      </c>
      <c r="L234" s="41">
        <v>6238</v>
      </c>
      <c r="M234" s="62"/>
      <c r="N234" s="65"/>
    </row>
    <row r="235" spans="1:14" s="52" customFormat="1" ht="26.4" x14ac:dyDescent="0.25">
      <c r="A235" s="36" t="str">
        <f t="shared" si="4"/>
        <v>5020399000</v>
      </c>
      <c r="B235" s="51" t="s">
        <v>355</v>
      </c>
      <c r="C235" s="61" t="s">
        <v>84</v>
      </c>
      <c r="D235" s="68" t="s">
        <v>352</v>
      </c>
      <c r="E235" s="63" t="s">
        <v>35</v>
      </c>
      <c r="F235" s="39">
        <v>46023</v>
      </c>
      <c r="G235" s="39"/>
      <c r="H235" s="14"/>
      <c r="I235" s="39">
        <v>46357</v>
      </c>
      <c r="J235" s="15" t="s">
        <v>44</v>
      </c>
      <c r="K235" s="41">
        <v>312200</v>
      </c>
      <c r="L235" s="41">
        <v>312200</v>
      </c>
      <c r="M235" s="62"/>
      <c r="N235" s="65"/>
    </row>
    <row r="236" spans="1:14" s="52" customFormat="1" ht="26.4" x14ac:dyDescent="0.25">
      <c r="A236" s="36" t="str">
        <f t="shared" si="4"/>
        <v>5020301000</v>
      </c>
      <c r="B236" s="51" t="s">
        <v>356</v>
      </c>
      <c r="C236" s="61" t="s">
        <v>74</v>
      </c>
      <c r="D236" s="68" t="s">
        <v>352</v>
      </c>
      <c r="E236" s="63" t="s">
        <v>35</v>
      </c>
      <c r="F236" s="39">
        <v>46023</v>
      </c>
      <c r="G236" s="39"/>
      <c r="H236" s="14"/>
      <c r="I236" s="39">
        <v>46357</v>
      </c>
      <c r="J236" s="15" t="s">
        <v>44</v>
      </c>
      <c r="K236" s="41">
        <v>67265</v>
      </c>
      <c r="L236" s="41">
        <v>67265</v>
      </c>
      <c r="M236" s="62"/>
      <c r="N236" s="65"/>
    </row>
    <row r="237" spans="1:14" s="52" customFormat="1" ht="26.4" x14ac:dyDescent="0.25">
      <c r="A237" s="36" t="str">
        <f t="shared" si="4"/>
        <v>5029902000</v>
      </c>
      <c r="B237" s="51" t="s">
        <v>357</v>
      </c>
      <c r="C237" s="61" t="s">
        <v>89</v>
      </c>
      <c r="D237" s="68" t="s">
        <v>352</v>
      </c>
      <c r="E237" s="63" t="s">
        <v>70</v>
      </c>
      <c r="F237" s="39">
        <v>46023</v>
      </c>
      <c r="G237" s="39"/>
      <c r="H237" s="14"/>
      <c r="I237" s="39">
        <v>46357</v>
      </c>
      <c r="J237" s="15" t="s">
        <v>44</v>
      </c>
      <c r="K237" s="41">
        <v>30000</v>
      </c>
      <c r="L237" s="41">
        <v>30000</v>
      </c>
      <c r="M237" s="62"/>
      <c r="N237" s="65"/>
    </row>
    <row r="238" spans="1:14" s="52" customFormat="1" ht="26.4" x14ac:dyDescent="0.25">
      <c r="A238" s="36" t="str">
        <f t="shared" si="4"/>
        <v>5020399000</v>
      </c>
      <c r="B238" s="51" t="s">
        <v>358</v>
      </c>
      <c r="C238" s="61" t="s">
        <v>84</v>
      </c>
      <c r="D238" s="68" t="s">
        <v>352</v>
      </c>
      <c r="E238" s="63" t="s">
        <v>35</v>
      </c>
      <c r="F238" s="39">
        <v>46023</v>
      </c>
      <c r="G238" s="39"/>
      <c r="H238" s="14"/>
      <c r="I238" s="39">
        <v>46357</v>
      </c>
      <c r="J238" s="15" t="s">
        <v>44</v>
      </c>
      <c r="K238" s="41">
        <v>200000</v>
      </c>
      <c r="L238" s="41">
        <v>200000</v>
      </c>
      <c r="M238" s="62"/>
      <c r="N238" s="65"/>
    </row>
    <row r="239" spans="1:14" ht="27.6" x14ac:dyDescent="0.25">
      <c r="A239" s="36" t="str">
        <f t="shared" si="4"/>
        <v>5020399000</v>
      </c>
      <c r="B239" s="48" t="s">
        <v>366</v>
      </c>
      <c r="C239" s="61" t="s">
        <v>84</v>
      </c>
      <c r="D239" s="37" t="s">
        <v>360</v>
      </c>
      <c r="E239" s="13" t="s">
        <v>39</v>
      </c>
      <c r="F239" s="39">
        <v>46023</v>
      </c>
      <c r="G239" s="39"/>
      <c r="H239" s="14"/>
      <c r="I239" s="39">
        <v>46357</v>
      </c>
      <c r="J239" s="15" t="s">
        <v>44</v>
      </c>
      <c r="K239" s="76">
        <v>6948</v>
      </c>
      <c r="L239" s="76">
        <v>6948</v>
      </c>
      <c r="M239" s="16"/>
      <c r="N239" s="17"/>
    </row>
    <row r="240" spans="1:14" ht="27.6" x14ac:dyDescent="0.25">
      <c r="A240" s="36" t="str">
        <f t="shared" si="4"/>
        <v>5020301000</v>
      </c>
      <c r="B240" s="48" t="s">
        <v>367</v>
      </c>
      <c r="C240" s="61" t="s">
        <v>74</v>
      </c>
      <c r="D240" s="37" t="s">
        <v>360</v>
      </c>
      <c r="E240" s="13" t="s">
        <v>39</v>
      </c>
      <c r="F240" s="39">
        <v>46023</v>
      </c>
      <c r="G240" s="39"/>
      <c r="H240" s="14"/>
      <c r="I240" s="39">
        <v>46357</v>
      </c>
      <c r="J240" s="15" t="s">
        <v>44</v>
      </c>
      <c r="K240" s="75">
        <v>3839</v>
      </c>
      <c r="L240" s="75">
        <v>3839</v>
      </c>
      <c r="M240" s="16"/>
      <c r="N240" s="17"/>
    </row>
    <row r="241" spans="1:14" ht="27.6" x14ac:dyDescent="0.25">
      <c r="A241" s="61" t="s">
        <v>84</v>
      </c>
      <c r="B241" s="48" t="s">
        <v>366</v>
      </c>
      <c r="C241" s="61" t="s">
        <v>84</v>
      </c>
      <c r="D241" s="78" t="s">
        <v>361</v>
      </c>
      <c r="E241" s="13" t="s">
        <v>39</v>
      </c>
      <c r="F241" s="39">
        <v>46023</v>
      </c>
      <c r="G241" s="39"/>
      <c r="H241" s="14"/>
      <c r="I241" s="39">
        <v>46357</v>
      </c>
      <c r="J241" s="15" t="s">
        <v>44</v>
      </c>
      <c r="K241" s="75">
        <v>5620</v>
      </c>
      <c r="L241" s="75">
        <v>5620</v>
      </c>
      <c r="M241" s="16"/>
      <c r="N241" s="17"/>
    </row>
    <row r="242" spans="1:14" ht="39.6" x14ac:dyDescent="0.25">
      <c r="A242" s="12" t="s">
        <v>93</v>
      </c>
      <c r="B242" s="51" t="s">
        <v>368</v>
      </c>
      <c r="C242" s="12" t="s">
        <v>93</v>
      </c>
      <c r="D242" s="78" t="s">
        <v>359</v>
      </c>
      <c r="E242" s="13" t="s">
        <v>35</v>
      </c>
      <c r="F242" s="39">
        <v>46023</v>
      </c>
      <c r="G242" s="39"/>
      <c r="H242" s="14"/>
      <c r="I242" s="39">
        <v>46357</v>
      </c>
      <c r="J242" s="15" t="s">
        <v>36</v>
      </c>
      <c r="K242" s="79">
        <v>3879600</v>
      </c>
      <c r="L242" s="25"/>
      <c r="M242" s="79">
        <v>3879600</v>
      </c>
      <c r="N242" s="51" t="s">
        <v>458</v>
      </c>
    </row>
    <row r="243" spans="1:14" ht="39.6" x14ac:dyDescent="0.25">
      <c r="A243" s="12" t="s">
        <v>93</v>
      </c>
      <c r="B243" s="51" t="s">
        <v>369</v>
      </c>
      <c r="C243" s="12" t="s">
        <v>93</v>
      </c>
      <c r="D243" s="78" t="s">
        <v>359</v>
      </c>
      <c r="E243" s="13" t="s">
        <v>35</v>
      </c>
      <c r="F243" s="39">
        <v>46023</v>
      </c>
      <c r="G243" s="39"/>
      <c r="H243" s="14"/>
      <c r="I243" s="39">
        <v>46357</v>
      </c>
      <c r="J243" s="15" t="s">
        <v>36</v>
      </c>
      <c r="K243" s="79">
        <v>487600</v>
      </c>
      <c r="L243" s="25"/>
      <c r="M243" s="79">
        <v>487600</v>
      </c>
      <c r="N243" s="51" t="s">
        <v>458</v>
      </c>
    </row>
    <row r="244" spans="1:14" ht="39.6" x14ac:dyDescent="0.25">
      <c r="A244" s="12" t="s">
        <v>94</v>
      </c>
      <c r="B244" s="51" t="s">
        <v>370</v>
      </c>
      <c r="C244" s="12" t="s">
        <v>94</v>
      </c>
      <c r="D244" s="78" t="s">
        <v>359</v>
      </c>
      <c r="E244" s="13" t="s">
        <v>35</v>
      </c>
      <c r="F244" s="39">
        <v>46023</v>
      </c>
      <c r="G244" s="39"/>
      <c r="H244" s="14"/>
      <c r="I244" s="39">
        <v>46357</v>
      </c>
      <c r="J244" s="15" t="s">
        <v>36</v>
      </c>
      <c r="K244" s="79">
        <v>148000</v>
      </c>
      <c r="L244" s="25"/>
      <c r="M244" s="79">
        <v>148000</v>
      </c>
      <c r="N244" s="51" t="s">
        <v>458</v>
      </c>
    </row>
    <row r="245" spans="1:14" ht="39.6" x14ac:dyDescent="0.25">
      <c r="A245" s="12" t="s">
        <v>94</v>
      </c>
      <c r="B245" s="51" t="s">
        <v>371</v>
      </c>
      <c r="C245" s="12" t="s">
        <v>94</v>
      </c>
      <c r="D245" s="78" t="s">
        <v>359</v>
      </c>
      <c r="E245" s="13" t="s">
        <v>35</v>
      </c>
      <c r="F245" s="39">
        <v>46023</v>
      </c>
      <c r="G245" s="39"/>
      <c r="H245" s="14"/>
      <c r="I245" s="39">
        <v>46357</v>
      </c>
      <c r="J245" s="15" t="s">
        <v>36</v>
      </c>
      <c r="K245" s="79">
        <v>640000</v>
      </c>
      <c r="L245" s="25"/>
      <c r="M245" s="79">
        <v>640000</v>
      </c>
      <c r="N245" s="51" t="s">
        <v>458</v>
      </c>
    </row>
    <row r="246" spans="1:14" ht="39.6" x14ac:dyDescent="0.25">
      <c r="A246" s="12" t="s">
        <v>93</v>
      </c>
      <c r="B246" s="51" t="s">
        <v>372</v>
      </c>
      <c r="C246" s="12" t="s">
        <v>93</v>
      </c>
      <c r="D246" s="78" t="s">
        <v>359</v>
      </c>
      <c r="E246" s="13" t="s">
        <v>35</v>
      </c>
      <c r="F246" s="39">
        <v>46023</v>
      </c>
      <c r="G246" s="39"/>
      <c r="H246" s="14"/>
      <c r="I246" s="39">
        <v>46357</v>
      </c>
      <c r="J246" s="15" t="s">
        <v>36</v>
      </c>
      <c r="K246" s="79">
        <v>37551150</v>
      </c>
      <c r="L246" s="25"/>
      <c r="M246" s="79">
        <v>37551150</v>
      </c>
      <c r="N246" s="51" t="s">
        <v>458</v>
      </c>
    </row>
    <row r="247" spans="1:14" ht="39.6" x14ac:dyDescent="0.25">
      <c r="A247" s="12" t="s">
        <v>94</v>
      </c>
      <c r="B247" s="51" t="s">
        <v>371</v>
      </c>
      <c r="C247" s="12" t="s">
        <v>94</v>
      </c>
      <c r="D247" s="78" t="s">
        <v>359</v>
      </c>
      <c r="E247" s="13" t="s">
        <v>35</v>
      </c>
      <c r="F247" s="39">
        <v>46023</v>
      </c>
      <c r="G247" s="39"/>
      <c r="H247" s="14"/>
      <c r="I247" s="39">
        <v>46357</v>
      </c>
      <c r="J247" s="15" t="s">
        <v>36</v>
      </c>
      <c r="K247" s="79">
        <v>10480000</v>
      </c>
      <c r="L247" s="25"/>
      <c r="M247" s="79">
        <v>10480000</v>
      </c>
      <c r="N247" s="51" t="s">
        <v>458</v>
      </c>
    </row>
    <row r="248" spans="1:14" ht="39.6" x14ac:dyDescent="0.25">
      <c r="A248" s="12" t="s">
        <v>94</v>
      </c>
      <c r="B248" s="51" t="s">
        <v>373</v>
      </c>
      <c r="C248" s="12" t="s">
        <v>94</v>
      </c>
      <c r="D248" s="78" t="s">
        <v>359</v>
      </c>
      <c r="E248" s="13" t="s">
        <v>35</v>
      </c>
      <c r="F248" s="39">
        <v>46023</v>
      </c>
      <c r="G248" s="39"/>
      <c r="H248" s="14"/>
      <c r="I248" s="39">
        <v>46357</v>
      </c>
      <c r="J248" s="15" t="s">
        <v>36</v>
      </c>
      <c r="K248" s="79">
        <v>2423500</v>
      </c>
      <c r="L248" s="25"/>
      <c r="M248" s="79">
        <v>2423500</v>
      </c>
      <c r="N248" s="51" t="s">
        <v>458</v>
      </c>
    </row>
    <row r="249" spans="1:14" ht="39.6" x14ac:dyDescent="0.25">
      <c r="A249" s="12" t="s">
        <v>93</v>
      </c>
      <c r="B249" s="51" t="s">
        <v>374</v>
      </c>
      <c r="C249" s="12" t="s">
        <v>93</v>
      </c>
      <c r="D249" s="78" t="s">
        <v>359</v>
      </c>
      <c r="E249" s="13" t="s">
        <v>35</v>
      </c>
      <c r="F249" s="39">
        <v>46023</v>
      </c>
      <c r="G249" s="39"/>
      <c r="H249" s="14"/>
      <c r="I249" s="39">
        <v>46357</v>
      </c>
      <c r="J249" s="15" t="s">
        <v>36</v>
      </c>
      <c r="K249" s="79">
        <v>2055500</v>
      </c>
      <c r="L249" s="25"/>
      <c r="M249" s="79">
        <v>2055500</v>
      </c>
      <c r="N249" s="51" t="s">
        <v>458</v>
      </c>
    </row>
    <row r="250" spans="1:14" ht="39.6" x14ac:dyDescent="0.25">
      <c r="A250" s="12" t="s">
        <v>94</v>
      </c>
      <c r="B250" s="51" t="s">
        <v>371</v>
      </c>
      <c r="C250" s="12" t="s">
        <v>94</v>
      </c>
      <c r="D250" s="78" t="s">
        <v>359</v>
      </c>
      <c r="E250" s="13" t="s">
        <v>35</v>
      </c>
      <c r="F250" s="39">
        <v>46023</v>
      </c>
      <c r="G250" s="39"/>
      <c r="H250" s="14"/>
      <c r="I250" s="39">
        <v>46357</v>
      </c>
      <c r="J250" s="15" t="s">
        <v>36</v>
      </c>
      <c r="K250" s="79">
        <v>320000</v>
      </c>
      <c r="L250" s="25"/>
      <c r="M250" s="79">
        <v>320000</v>
      </c>
      <c r="N250" s="51" t="s">
        <v>458</v>
      </c>
    </row>
    <row r="251" spans="1:14" ht="39.6" x14ac:dyDescent="0.25">
      <c r="A251" s="12" t="s">
        <v>94</v>
      </c>
      <c r="B251" s="51" t="s">
        <v>370</v>
      </c>
      <c r="C251" s="12" t="s">
        <v>94</v>
      </c>
      <c r="D251" s="78" t="s">
        <v>359</v>
      </c>
      <c r="E251" s="13" t="s">
        <v>35</v>
      </c>
      <c r="F251" s="39">
        <v>46023</v>
      </c>
      <c r="G251" s="39"/>
      <c r="H251" s="14"/>
      <c r="I251" s="39">
        <v>46357</v>
      </c>
      <c r="J251" s="15" t="s">
        <v>36</v>
      </c>
      <c r="K251" s="79">
        <v>74000</v>
      </c>
      <c r="L251" s="25"/>
      <c r="M251" s="79">
        <v>74000</v>
      </c>
      <c r="N251" s="51" t="s">
        <v>458</v>
      </c>
    </row>
    <row r="252" spans="1:14" ht="39.6" x14ac:dyDescent="0.25">
      <c r="A252" s="12" t="s">
        <v>93</v>
      </c>
      <c r="B252" s="51" t="s">
        <v>375</v>
      </c>
      <c r="C252" s="12" t="s">
        <v>93</v>
      </c>
      <c r="D252" s="78" t="s">
        <v>359</v>
      </c>
      <c r="E252" s="13" t="s">
        <v>35</v>
      </c>
      <c r="F252" s="39">
        <v>46023</v>
      </c>
      <c r="G252" s="39"/>
      <c r="H252" s="14"/>
      <c r="I252" s="39">
        <v>46357</v>
      </c>
      <c r="J252" s="15" t="s">
        <v>36</v>
      </c>
      <c r="K252" s="79">
        <v>2479800</v>
      </c>
      <c r="L252" s="25"/>
      <c r="M252" s="79">
        <v>2479800</v>
      </c>
      <c r="N252" s="51" t="s">
        <v>458</v>
      </c>
    </row>
    <row r="253" spans="1:14" ht="39.6" x14ac:dyDescent="0.25">
      <c r="A253" s="12" t="s">
        <v>94</v>
      </c>
      <c r="B253" s="51" t="s">
        <v>371</v>
      </c>
      <c r="C253" s="12" t="s">
        <v>94</v>
      </c>
      <c r="D253" s="78" t="s">
        <v>359</v>
      </c>
      <c r="E253" s="13" t="s">
        <v>35</v>
      </c>
      <c r="F253" s="39">
        <v>46023</v>
      </c>
      <c r="G253" s="39"/>
      <c r="H253" s="14"/>
      <c r="I253" s="39">
        <v>46357</v>
      </c>
      <c r="J253" s="15" t="s">
        <v>36</v>
      </c>
      <c r="K253" s="79">
        <v>320000</v>
      </c>
      <c r="L253" s="25"/>
      <c r="M253" s="79">
        <v>320000</v>
      </c>
      <c r="N253" s="51" t="s">
        <v>458</v>
      </c>
    </row>
    <row r="254" spans="1:14" ht="39.6" x14ac:dyDescent="0.25">
      <c r="A254" s="12" t="s">
        <v>94</v>
      </c>
      <c r="B254" s="51" t="s">
        <v>370</v>
      </c>
      <c r="C254" s="12" t="s">
        <v>94</v>
      </c>
      <c r="D254" s="78" t="s">
        <v>359</v>
      </c>
      <c r="E254" s="13" t="s">
        <v>35</v>
      </c>
      <c r="F254" s="39">
        <v>46023</v>
      </c>
      <c r="G254" s="39"/>
      <c r="H254" s="14"/>
      <c r="I254" s="39">
        <v>46357</v>
      </c>
      <c r="J254" s="15" t="s">
        <v>36</v>
      </c>
      <c r="K254" s="79">
        <v>74000</v>
      </c>
      <c r="L254" s="25"/>
      <c r="M254" s="79">
        <v>74000</v>
      </c>
      <c r="N254" s="51" t="s">
        <v>458</v>
      </c>
    </row>
    <row r="255" spans="1:14" ht="39.6" x14ac:dyDescent="0.25">
      <c r="A255" s="12" t="s">
        <v>93</v>
      </c>
      <c r="B255" s="51" t="s">
        <v>376</v>
      </c>
      <c r="C255" s="12" t="s">
        <v>93</v>
      </c>
      <c r="D255" s="78" t="s">
        <v>359</v>
      </c>
      <c r="E255" s="13" t="s">
        <v>35</v>
      </c>
      <c r="F255" s="39">
        <v>46023</v>
      </c>
      <c r="G255" s="39"/>
      <c r="H255" s="14"/>
      <c r="I255" s="39">
        <v>46357</v>
      </c>
      <c r="J255" s="15" t="s">
        <v>36</v>
      </c>
      <c r="K255" s="79">
        <v>7366000</v>
      </c>
      <c r="L255" s="25"/>
      <c r="M255" s="79">
        <v>7366000</v>
      </c>
      <c r="N255" s="51" t="s">
        <v>458</v>
      </c>
    </row>
    <row r="256" spans="1:14" ht="39.6" x14ac:dyDescent="0.25">
      <c r="A256" s="12" t="s">
        <v>93</v>
      </c>
      <c r="B256" s="51" t="s">
        <v>377</v>
      </c>
      <c r="C256" s="12" t="s">
        <v>93</v>
      </c>
      <c r="D256" s="78" t="s">
        <v>359</v>
      </c>
      <c r="E256" s="13" t="s">
        <v>35</v>
      </c>
      <c r="F256" s="39">
        <v>46023</v>
      </c>
      <c r="G256" s="39"/>
      <c r="H256" s="14"/>
      <c r="I256" s="39">
        <v>46357</v>
      </c>
      <c r="J256" s="15" t="s">
        <v>36</v>
      </c>
      <c r="K256" s="79">
        <v>1219000</v>
      </c>
      <c r="L256" s="25"/>
      <c r="M256" s="79">
        <v>1219000</v>
      </c>
      <c r="N256" s="51" t="s">
        <v>458</v>
      </c>
    </row>
    <row r="257" spans="1:14" ht="39.6" x14ac:dyDescent="0.25">
      <c r="A257" s="12" t="s">
        <v>94</v>
      </c>
      <c r="B257" s="51" t="s">
        <v>370</v>
      </c>
      <c r="C257" s="12" t="s">
        <v>94</v>
      </c>
      <c r="D257" s="78" t="s">
        <v>359</v>
      </c>
      <c r="E257" s="13" t="s">
        <v>35</v>
      </c>
      <c r="F257" s="39">
        <v>46023</v>
      </c>
      <c r="G257" s="39"/>
      <c r="H257" s="14"/>
      <c r="I257" s="39">
        <v>46357</v>
      </c>
      <c r="J257" s="15" t="s">
        <v>36</v>
      </c>
      <c r="K257" s="79">
        <v>370000</v>
      </c>
      <c r="L257" s="25"/>
      <c r="M257" s="79">
        <v>370000</v>
      </c>
      <c r="N257" s="51" t="s">
        <v>458</v>
      </c>
    </row>
    <row r="258" spans="1:14" ht="39.6" x14ac:dyDescent="0.25">
      <c r="A258" s="12" t="s">
        <v>94</v>
      </c>
      <c r="B258" s="51" t="s">
        <v>371</v>
      </c>
      <c r="C258" s="12" t="s">
        <v>94</v>
      </c>
      <c r="D258" s="78" t="s">
        <v>359</v>
      </c>
      <c r="E258" s="13" t="s">
        <v>35</v>
      </c>
      <c r="F258" s="39">
        <v>46023</v>
      </c>
      <c r="G258" s="39"/>
      <c r="H258" s="14"/>
      <c r="I258" s="39">
        <v>46357</v>
      </c>
      <c r="J258" s="15" t="s">
        <v>36</v>
      </c>
      <c r="K258" s="79">
        <v>1600000</v>
      </c>
      <c r="L258" s="25"/>
      <c r="M258" s="79">
        <v>1600000</v>
      </c>
      <c r="N258" s="51" t="s">
        <v>458</v>
      </c>
    </row>
    <row r="259" spans="1:14" ht="39.6" x14ac:dyDescent="0.25">
      <c r="A259" s="12" t="s">
        <v>93</v>
      </c>
      <c r="B259" s="51" t="s">
        <v>378</v>
      </c>
      <c r="C259" s="12" t="s">
        <v>93</v>
      </c>
      <c r="D259" s="78" t="s">
        <v>359</v>
      </c>
      <c r="E259" s="13" t="s">
        <v>35</v>
      </c>
      <c r="F259" s="39">
        <v>46023</v>
      </c>
      <c r="G259" s="39"/>
      <c r="H259" s="14"/>
      <c r="I259" s="39">
        <v>46357</v>
      </c>
      <c r="J259" s="15" t="s">
        <v>36</v>
      </c>
      <c r="K259" s="79">
        <v>375000</v>
      </c>
      <c r="L259" s="25"/>
      <c r="M259" s="79">
        <v>375000</v>
      </c>
      <c r="N259" s="51" t="s">
        <v>458</v>
      </c>
    </row>
    <row r="260" spans="1:14" ht="39.6" x14ac:dyDescent="0.25">
      <c r="A260" s="12" t="s">
        <v>93</v>
      </c>
      <c r="B260" s="51" t="s">
        <v>379</v>
      </c>
      <c r="C260" s="12" t="s">
        <v>93</v>
      </c>
      <c r="D260" s="78" t="s">
        <v>359</v>
      </c>
      <c r="E260" s="13" t="s">
        <v>35</v>
      </c>
      <c r="F260" s="39">
        <v>46023</v>
      </c>
      <c r="G260" s="39"/>
      <c r="H260" s="14"/>
      <c r="I260" s="39">
        <v>46357</v>
      </c>
      <c r="J260" s="15" t="s">
        <v>36</v>
      </c>
      <c r="K260" s="79">
        <v>215766</v>
      </c>
      <c r="L260" s="25"/>
      <c r="M260" s="79">
        <v>215766</v>
      </c>
      <c r="N260" s="51" t="s">
        <v>458</v>
      </c>
    </row>
    <row r="261" spans="1:14" ht="39.6" x14ac:dyDescent="0.25">
      <c r="A261" s="12" t="s">
        <v>93</v>
      </c>
      <c r="B261" s="51" t="s">
        <v>380</v>
      </c>
      <c r="C261" s="12" t="s">
        <v>93</v>
      </c>
      <c r="D261" s="78" t="s">
        <v>359</v>
      </c>
      <c r="E261" s="13" t="s">
        <v>35</v>
      </c>
      <c r="F261" s="39">
        <v>46023</v>
      </c>
      <c r="G261" s="39"/>
      <c r="H261" s="14"/>
      <c r="I261" s="39">
        <v>46357</v>
      </c>
      <c r="J261" s="15" t="s">
        <v>36</v>
      </c>
      <c r="K261" s="79">
        <v>152000</v>
      </c>
      <c r="L261" s="25"/>
      <c r="M261" s="79">
        <v>152000</v>
      </c>
      <c r="N261" s="51" t="s">
        <v>458</v>
      </c>
    </row>
    <row r="262" spans="1:14" ht="39.6" x14ac:dyDescent="0.25">
      <c r="A262" s="12" t="s">
        <v>93</v>
      </c>
      <c r="B262" s="51" t="s">
        <v>381</v>
      </c>
      <c r="C262" s="12" t="s">
        <v>93</v>
      </c>
      <c r="D262" s="78" t="s">
        <v>359</v>
      </c>
      <c r="E262" s="13" t="s">
        <v>35</v>
      </c>
      <c r="F262" s="39">
        <v>46023</v>
      </c>
      <c r="G262" s="39"/>
      <c r="H262" s="14"/>
      <c r="I262" s="39">
        <v>46357</v>
      </c>
      <c r="J262" s="15" t="s">
        <v>36</v>
      </c>
      <c r="K262" s="79">
        <v>112000</v>
      </c>
      <c r="L262" s="25"/>
      <c r="M262" s="79">
        <v>112000</v>
      </c>
      <c r="N262" s="51" t="s">
        <v>458</v>
      </c>
    </row>
    <row r="263" spans="1:14" ht="39.6" x14ac:dyDescent="0.25">
      <c r="A263" s="12" t="s">
        <v>93</v>
      </c>
      <c r="B263" s="51" t="s">
        <v>382</v>
      </c>
      <c r="C263" s="12" t="s">
        <v>93</v>
      </c>
      <c r="D263" s="78" t="s">
        <v>359</v>
      </c>
      <c r="E263" s="13" t="s">
        <v>35</v>
      </c>
      <c r="F263" s="39">
        <v>46023</v>
      </c>
      <c r="G263" s="39"/>
      <c r="H263" s="14"/>
      <c r="I263" s="39">
        <v>46357</v>
      </c>
      <c r="J263" s="15" t="s">
        <v>36</v>
      </c>
      <c r="K263" s="79">
        <v>240000</v>
      </c>
      <c r="L263" s="25"/>
      <c r="M263" s="79">
        <v>240000</v>
      </c>
      <c r="N263" s="51" t="s">
        <v>458</v>
      </c>
    </row>
    <row r="264" spans="1:14" ht="39.6" x14ac:dyDescent="0.25">
      <c r="A264" s="12" t="s">
        <v>93</v>
      </c>
      <c r="B264" s="51" t="s">
        <v>383</v>
      </c>
      <c r="C264" s="12" t="s">
        <v>93</v>
      </c>
      <c r="D264" s="78" t="s">
        <v>359</v>
      </c>
      <c r="E264" s="13" t="s">
        <v>35</v>
      </c>
      <c r="F264" s="39">
        <v>46023</v>
      </c>
      <c r="G264" s="39"/>
      <c r="H264" s="14"/>
      <c r="I264" s="39">
        <v>46357</v>
      </c>
      <c r="J264" s="15" t="s">
        <v>36</v>
      </c>
      <c r="K264" s="79">
        <v>56848.03</v>
      </c>
      <c r="L264" s="75"/>
      <c r="M264" s="79">
        <v>56848.03</v>
      </c>
      <c r="N264" s="51" t="s">
        <v>458</v>
      </c>
    </row>
    <row r="265" spans="1:14" ht="39.6" x14ac:dyDescent="0.25">
      <c r="A265" s="12" t="s">
        <v>94</v>
      </c>
      <c r="B265" s="51" t="s">
        <v>384</v>
      </c>
      <c r="C265" s="12" t="s">
        <v>94</v>
      </c>
      <c r="D265" s="78" t="s">
        <v>359</v>
      </c>
      <c r="E265" s="13" t="s">
        <v>35</v>
      </c>
      <c r="F265" s="39">
        <v>46023</v>
      </c>
      <c r="G265" s="39"/>
      <c r="H265" s="14"/>
      <c r="I265" s="39">
        <v>46357</v>
      </c>
      <c r="J265" s="15" t="s">
        <v>36</v>
      </c>
      <c r="K265" s="79">
        <v>912375</v>
      </c>
      <c r="L265" s="25"/>
      <c r="M265" s="79">
        <v>912375</v>
      </c>
      <c r="N265" s="51" t="s">
        <v>458</v>
      </c>
    </row>
    <row r="266" spans="1:14" ht="39.6" x14ac:dyDescent="0.25">
      <c r="A266" s="12" t="s">
        <v>94</v>
      </c>
      <c r="B266" s="51" t="s">
        <v>385</v>
      </c>
      <c r="C266" s="12" t="s">
        <v>94</v>
      </c>
      <c r="D266" s="78" t="s">
        <v>359</v>
      </c>
      <c r="E266" s="13" t="s">
        <v>35</v>
      </c>
      <c r="F266" s="39">
        <v>46023</v>
      </c>
      <c r="G266" s="39"/>
      <c r="H266" s="14"/>
      <c r="I266" s="39">
        <v>46357</v>
      </c>
      <c r="J266" s="15" t="s">
        <v>36</v>
      </c>
      <c r="K266" s="79">
        <v>5799000</v>
      </c>
      <c r="L266" s="25"/>
      <c r="M266" s="79">
        <v>5799000</v>
      </c>
      <c r="N266" s="51" t="s">
        <v>458</v>
      </c>
    </row>
    <row r="267" spans="1:14" ht="52.8" x14ac:dyDescent="0.25">
      <c r="A267" s="12" t="s">
        <v>93</v>
      </c>
      <c r="B267" s="51" t="s">
        <v>386</v>
      </c>
      <c r="C267" s="12" t="s">
        <v>93</v>
      </c>
      <c r="D267" s="78" t="s">
        <v>359</v>
      </c>
      <c r="E267" s="13" t="s">
        <v>35</v>
      </c>
      <c r="F267" s="39">
        <v>46023</v>
      </c>
      <c r="G267" s="39"/>
      <c r="H267" s="14"/>
      <c r="I267" s="39">
        <v>46357</v>
      </c>
      <c r="J267" s="15" t="s">
        <v>36</v>
      </c>
      <c r="K267" s="79">
        <v>7993305.540000001</v>
      </c>
      <c r="L267" s="25"/>
      <c r="M267" s="79">
        <v>7993305.540000001</v>
      </c>
      <c r="N267" s="51" t="s">
        <v>459</v>
      </c>
    </row>
    <row r="268" spans="1:14" ht="52.8" x14ac:dyDescent="0.25">
      <c r="A268" s="12" t="s">
        <v>93</v>
      </c>
      <c r="B268" s="51" t="s">
        <v>387</v>
      </c>
      <c r="C268" s="12" t="s">
        <v>93</v>
      </c>
      <c r="D268" s="78" t="s">
        <v>359</v>
      </c>
      <c r="E268" s="13" t="s">
        <v>35</v>
      </c>
      <c r="F268" s="39">
        <v>46023</v>
      </c>
      <c r="G268" s="39"/>
      <c r="H268" s="14"/>
      <c r="I268" s="39">
        <v>46357</v>
      </c>
      <c r="J268" s="15" t="s">
        <v>36</v>
      </c>
      <c r="K268" s="79">
        <v>19790208</v>
      </c>
      <c r="L268" s="25"/>
      <c r="M268" s="79">
        <v>19790208</v>
      </c>
      <c r="N268" s="51" t="s">
        <v>459</v>
      </c>
    </row>
    <row r="269" spans="1:14" ht="52.8" x14ac:dyDescent="0.25">
      <c r="A269" s="12" t="s">
        <v>93</v>
      </c>
      <c r="B269" s="51" t="s">
        <v>388</v>
      </c>
      <c r="C269" s="12" t="s">
        <v>93</v>
      </c>
      <c r="D269" s="78" t="s">
        <v>359</v>
      </c>
      <c r="E269" s="13" t="s">
        <v>35</v>
      </c>
      <c r="F269" s="39">
        <v>46023</v>
      </c>
      <c r="G269" s="39"/>
      <c r="H269" s="14"/>
      <c r="I269" s="39">
        <v>46357</v>
      </c>
      <c r="J269" s="15" t="s">
        <v>36</v>
      </c>
      <c r="K269" s="79">
        <v>3440880</v>
      </c>
      <c r="L269" s="25"/>
      <c r="M269" s="79">
        <v>3440880</v>
      </c>
      <c r="N269" s="51" t="s">
        <v>459</v>
      </c>
    </row>
    <row r="270" spans="1:14" ht="52.8" x14ac:dyDescent="0.25">
      <c r="A270" s="12" t="s">
        <v>93</v>
      </c>
      <c r="B270" s="51" t="s">
        <v>389</v>
      </c>
      <c r="C270" s="12" t="s">
        <v>93</v>
      </c>
      <c r="D270" s="78" t="s">
        <v>359</v>
      </c>
      <c r="E270" s="13" t="s">
        <v>35</v>
      </c>
      <c r="F270" s="39">
        <v>46023</v>
      </c>
      <c r="G270" s="39"/>
      <c r="H270" s="14"/>
      <c r="I270" s="39">
        <v>46357</v>
      </c>
      <c r="J270" s="15" t="s">
        <v>36</v>
      </c>
      <c r="K270" s="79">
        <v>564127.20000000007</v>
      </c>
      <c r="L270" s="25"/>
      <c r="M270" s="79">
        <v>564127.20000000007</v>
      </c>
      <c r="N270" s="51" t="s">
        <v>459</v>
      </c>
    </row>
    <row r="271" spans="1:14" ht="52.8" x14ac:dyDescent="0.25">
      <c r="A271" s="12" t="s">
        <v>93</v>
      </c>
      <c r="B271" s="51" t="s">
        <v>390</v>
      </c>
      <c r="C271" s="12" t="s">
        <v>93</v>
      </c>
      <c r="D271" s="78" t="s">
        <v>359</v>
      </c>
      <c r="E271" s="13" t="s">
        <v>35</v>
      </c>
      <c r="F271" s="39">
        <v>46023</v>
      </c>
      <c r="G271" s="39"/>
      <c r="H271" s="14"/>
      <c r="I271" s="39">
        <v>46357</v>
      </c>
      <c r="J271" s="15" t="s">
        <v>36</v>
      </c>
      <c r="K271" s="79">
        <v>4460814.72</v>
      </c>
      <c r="L271" s="25"/>
      <c r="M271" s="79">
        <v>4460814.72</v>
      </c>
      <c r="N271" s="51" t="s">
        <v>459</v>
      </c>
    </row>
    <row r="272" spans="1:14" ht="52.8" x14ac:dyDescent="0.25">
      <c r="A272" s="12" t="s">
        <v>93</v>
      </c>
      <c r="B272" s="51" t="s">
        <v>391</v>
      </c>
      <c r="C272" s="12" t="s">
        <v>93</v>
      </c>
      <c r="D272" s="78" t="s">
        <v>359</v>
      </c>
      <c r="E272" s="13" t="s">
        <v>35</v>
      </c>
      <c r="F272" s="39">
        <v>46023</v>
      </c>
      <c r="G272" s="39"/>
      <c r="H272" s="14"/>
      <c r="I272" s="39">
        <v>46357</v>
      </c>
      <c r="J272" s="15" t="s">
        <v>36</v>
      </c>
      <c r="K272" s="79">
        <v>3024000</v>
      </c>
      <c r="L272" s="25"/>
      <c r="M272" s="79">
        <v>3024000</v>
      </c>
      <c r="N272" s="51" t="s">
        <v>459</v>
      </c>
    </row>
    <row r="273" spans="1:14" ht="52.8" x14ac:dyDescent="0.25">
      <c r="A273" s="12" t="s">
        <v>93</v>
      </c>
      <c r="B273" s="51" t="s">
        <v>392</v>
      </c>
      <c r="C273" s="12" t="s">
        <v>93</v>
      </c>
      <c r="D273" s="78" t="s">
        <v>359</v>
      </c>
      <c r="E273" s="13" t="s">
        <v>35</v>
      </c>
      <c r="F273" s="39">
        <v>46023</v>
      </c>
      <c r="G273" s="39"/>
      <c r="H273" s="14"/>
      <c r="I273" s="39">
        <v>46357</v>
      </c>
      <c r="J273" s="15" t="s">
        <v>36</v>
      </c>
      <c r="K273" s="79">
        <v>9900000</v>
      </c>
      <c r="L273" s="25"/>
      <c r="M273" s="79">
        <v>9900000</v>
      </c>
      <c r="N273" s="51" t="s">
        <v>459</v>
      </c>
    </row>
    <row r="274" spans="1:14" ht="52.8" x14ac:dyDescent="0.25">
      <c r="A274" s="12" t="s">
        <v>93</v>
      </c>
      <c r="B274" s="51" t="s">
        <v>393</v>
      </c>
      <c r="C274" s="12" t="s">
        <v>93</v>
      </c>
      <c r="D274" s="78" t="s">
        <v>359</v>
      </c>
      <c r="E274" s="13" t="s">
        <v>35</v>
      </c>
      <c r="F274" s="39">
        <v>46023</v>
      </c>
      <c r="G274" s="39"/>
      <c r="H274" s="14"/>
      <c r="I274" s="39">
        <v>46357</v>
      </c>
      <c r="J274" s="15" t="s">
        <v>36</v>
      </c>
      <c r="K274" s="79">
        <v>28800000</v>
      </c>
      <c r="L274" s="25"/>
      <c r="M274" s="79">
        <v>28800000</v>
      </c>
      <c r="N274" s="51" t="s">
        <v>459</v>
      </c>
    </row>
    <row r="275" spans="1:14" ht="39.6" x14ac:dyDescent="0.25">
      <c r="A275" s="12" t="s">
        <v>93</v>
      </c>
      <c r="B275" s="51" t="s">
        <v>394</v>
      </c>
      <c r="C275" s="12" t="s">
        <v>93</v>
      </c>
      <c r="D275" s="78" t="s">
        <v>359</v>
      </c>
      <c r="E275" s="13" t="s">
        <v>35</v>
      </c>
      <c r="F275" s="39">
        <v>46023</v>
      </c>
      <c r="G275" s="39"/>
      <c r="H275" s="14"/>
      <c r="I275" s="39">
        <v>46357</v>
      </c>
      <c r="J275" s="15" t="s">
        <v>36</v>
      </c>
      <c r="K275" s="79">
        <v>4440725.3000000007</v>
      </c>
      <c r="L275" s="25"/>
      <c r="M275" s="79">
        <v>4440725.3000000007</v>
      </c>
      <c r="N275" s="51" t="s">
        <v>460</v>
      </c>
    </row>
    <row r="276" spans="1:14" ht="39.6" x14ac:dyDescent="0.25">
      <c r="A276" s="12" t="s">
        <v>93</v>
      </c>
      <c r="B276" s="51" t="s">
        <v>395</v>
      </c>
      <c r="C276" s="12" t="s">
        <v>93</v>
      </c>
      <c r="D276" s="78" t="s">
        <v>359</v>
      </c>
      <c r="E276" s="13" t="s">
        <v>35</v>
      </c>
      <c r="F276" s="39">
        <v>46023</v>
      </c>
      <c r="G276" s="39"/>
      <c r="H276" s="14"/>
      <c r="I276" s="39">
        <v>46357</v>
      </c>
      <c r="J276" s="15" t="s">
        <v>36</v>
      </c>
      <c r="K276" s="79">
        <v>22098000</v>
      </c>
      <c r="L276" s="25"/>
      <c r="M276" s="79">
        <v>22098000</v>
      </c>
      <c r="N276" s="51" t="s">
        <v>460</v>
      </c>
    </row>
    <row r="277" spans="1:14" ht="39.6" x14ac:dyDescent="0.25">
      <c r="A277" s="12" t="s">
        <v>93</v>
      </c>
      <c r="B277" s="51" t="s">
        <v>369</v>
      </c>
      <c r="C277" s="12" t="s">
        <v>93</v>
      </c>
      <c r="D277" s="78" t="s">
        <v>359</v>
      </c>
      <c r="E277" s="13" t="s">
        <v>35</v>
      </c>
      <c r="F277" s="39">
        <v>46023</v>
      </c>
      <c r="G277" s="39"/>
      <c r="H277" s="14"/>
      <c r="I277" s="39">
        <v>46357</v>
      </c>
      <c r="J277" s="15" t="s">
        <v>36</v>
      </c>
      <c r="K277" s="79">
        <v>3657000</v>
      </c>
      <c r="L277" s="25"/>
      <c r="M277" s="79">
        <v>3657000</v>
      </c>
      <c r="N277" s="51" t="s">
        <v>460</v>
      </c>
    </row>
    <row r="278" spans="1:14" ht="250.8" x14ac:dyDescent="0.25">
      <c r="A278" s="12" t="s">
        <v>94</v>
      </c>
      <c r="B278" s="51" t="s">
        <v>396</v>
      </c>
      <c r="C278" s="12" t="s">
        <v>94</v>
      </c>
      <c r="D278" s="78" t="s">
        <v>359</v>
      </c>
      <c r="E278" s="13" t="s">
        <v>35</v>
      </c>
      <c r="F278" s="39">
        <v>46023</v>
      </c>
      <c r="G278" s="39"/>
      <c r="H278" s="14"/>
      <c r="I278" s="39">
        <v>46357</v>
      </c>
      <c r="J278" s="15" t="s">
        <v>36</v>
      </c>
      <c r="K278" s="79">
        <v>1110000</v>
      </c>
      <c r="L278" s="25"/>
      <c r="M278" s="79">
        <v>1110000</v>
      </c>
      <c r="N278" s="51" t="s">
        <v>460</v>
      </c>
    </row>
    <row r="279" spans="1:14" ht="409.6" x14ac:dyDescent="0.25">
      <c r="A279" s="12" t="s">
        <v>94</v>
      </c>
      <c r="B279" s="51" t="s">
        <v>397</v>
      </c>
      <c r="C279" s="12" t="s">
        <v>94</v>
      </c>
      <c r="D279" s="78" t="s">
        <v>359</v>
      </c>
      <c r="E279" s="13" t="s">
        <v>160</v>
      </c>
      <c r="F279" s="39">
        <v>46023</v>
      </c>
      <c r="G279" s="39"/>
      <c r="H279" s="14"/>
      <c r="I279" s="39">
        <v>46357</v>
      </c>
      <c r="J279" s="15" t="s">
        <v>36</v>
      </c>
      <c r="K279" s="79">
        <v>4800000</v>
      </c>
      <c r="L279" s="25"/>
      <c r="M279" s="79">
        <v>4800000</v>
      </c>
      <c r="N279" s="51" t="s">
        <v>460</v>
      </c>
    </row>
    <row r="280" spans="1:14" ht="39.6" x14ac:dyDescent="0.25">
      <c r="A280" s="12" t="s">
        <v>93</v>
      </c>
      <c r="B280" s="51" t="s">
        <v>387</v>
      </c>
      <c r="C280" s="12" t="s">
        <v>93</v>
      </c>
      <c r="D280" s="78" t="s">
        <v>359</v>
      </c>
      <c r="E280" s="13" t="s">
        <v>160</v>
      </c>
      <c r="F280" s="39">
        <v>46023</v>
      </c>
      <c r="G280" s="39"/>
      <c r="H280" s="14"/>
      <c r="I280" s="39">
        <v>46357</v>
      </c>
      <c r="J280" s="15" t="s">
        <v>36</v>
      </c>
      <c r="K280" s="79">
        <v>8044800</v>
      </c>
      <c r="L280" s="25"/>
      <c r="M280" s="79">
        <v>8044800</v>
      </c>
      <c r="N280" s="51" t="s">
        <v>460</v>
      </c>
    </row>
    <row r="281" spans="1:14" ht="39.6" x14ac:dyDescent="0.25">
      <c r="A281" s="12" t="s">
        <v>93</v>
      </c>
      <c r="B281" s="51" t="s">
        <v>388</v>
      </c>
      <c r="C281" s="12" t="s">
        <v>93</v>
      </c>
      <c r="D281" s="78" t="s">
        <v>359</v>
      </c>
      <c r="E281" s="13" t="s">
        <v>160</v>
      </c>
      <c r="F281" s="39">
        <v>46023</v>
      </c>
      <c r="G281" s="39"/>
      <c r="H281" s="14"/>
      <c r="I281" s="39">
        <v>46357</v>
      </c>
      <c r="J281" s="15" t="s">
        <v>36</v>
      </c>
      <c r="K281" s="79">
        <v>1911600</v>
      </c>
      <c r="L281" s="25"/>
      <c r="M281" s="79">
        <v>1911600</v>
      </c>
      <c r="N281" s="51" t="s">
        <v>460</v>
      </c>
    </row>
    <row r="282" spans="1:14" ht="39.6" x14ac:dyDescent="0.25">
      <c r="A282" s="12" t="s">
        <v>93</v>
      </c>
      <c r="B282" s="51" t="s">
        <v>389</v>
      </c>
      <c r="C282" s="12" t="s">
        <v>93</v>
      </c>
      <c r="D282" s="78" t="s">
        <v>359</v>
      </c>
      <c r="E282" s="13" t="s">
        <v>160</v>
      </c>
      <c r="F282" s="39">
        <v>46023</v>
      </c>
      <c r="G282" s="39"/>
      <c r="H282" s="14"/>
      <c r="I282" s="39">
        <v>46357</v>
      </c>
      <c r="J282" s="15" t="s">
        <v>36</v>
      </c>
      <c r="K282" s="79">
        <v>313404</v>
      </c>
      <c r="L282" s="25"/>
      <c r="M282" s="79">
        <v>313404</v>
      </c>
      <c r="N282" s="51" t="s">
        <v>460</v>
      </c>
    </row>
    <row r="283" spans="1:14" ht="39.6" x14ac:dyDescent="0.25">
      <c r="A283" s="12" t="s">
        <v>93</v>
      </c>
      <c r="B283" s="51" t="s">
        <v>390</v>
      </c>
      <c r="C283" s="12" t="s">
        <v>93</v>
      </c>
      <c r="D283" s="78" t="s">
        <v>359</v>
      </c>
      <c r="E283" s="13" t="s">
        <v>160</v>
      </c>
      <c r="F283" s="39">
        <v>46023</v>
      </c>
      <c r="G283" s="39"/>
      <c r="H283" s="14"/>
      <c r="I283" s="39">
        <v>46357</v>
      </c>
      <c r="J283" s="15" t="s">
        <v>36</v>
      </c>
      <c r="K283" s="79">
        <v>2478230.4</v>
      </c>
      <c r="L283" s="25"/>
      <c r="M283" s="79">
        <v>2478230.4</v>
      </c>
      <c r="N283" s="51" t="s">
        <v>460</v>
      </c>
    </row>
    <row r="284" spans="1:14" ht="39.6" x14ac:dyDescent="0.25">
      <c r="A284" s="12" t="s">
        <v>93</v>
      </c>
      <c r="B284" s="51" t="s">
        <v>398</v>
      </c>
      <c r="C284" s="12" t="s">
        <v>93</v>
      </c>
      <c r="D284" s="78" t="s">
        <v>359</v>
      </c>
      <c r="E284" s="13" t="s">
        <v>160</v>
      </c>
      <c r="F284" s="39">
        <v>46023</v>
      </c>
      <c r="G284" s="39"/>
      <c r="H284" s="14"/>
      <c r="I284" s="39">
        <v>46357</v>
      </c>
      <c r="J284" s="15" t="s">
        <v>36</v>
      </c>
      <c r="K284" s="79">
        <v>1680000</v>
      </c>
      <c r="L284" s="25"/>
      <c r="M284" s="79">
        <v>1680000</v>
      </c>
      <c r="N284" s="51" t="s">
        <v>460</v>
      </c>
    </row>
    <row r="285" spans="1:14" ht="39.6" x14ac:dyDescent="0.25">
      <c r="A285" s="12" t="s">
        <v>93</v>
      </c>
      <c r="B285" s="51" t="s">
        <v>392</v>
      </c>
      <c r="C285" s="12" t="s">
        <v>93</v>
      </c>
      <c r="D285" s="78" t="s">
        <v>359</v>
      </c>
      <c r="E285" s="13" t="s">
        <v>160</v>
      </c>
      <c r="F285" s="39">
        <v>46023</v>
      </c>
      <c r="G285" s="39"/>
      <c r="H285" s="14"/>
      <c r="I285" s="39">
        <v>46357</v>
      </c>
      <c r="J285" s="15" t="s">
        <v>36</v>
      </c>
      <c r="K285" s="79">
        <v>5500000</v>
      </c>
      <c r="L285" s="25"/>
      <c r="M285" s="79">
        <v>5500000</v>
      </c>
      <c r="N285" s="51" t="s">
        <v>460</v>
      </c>
    </row>
    <row r="286" spans="1:14" ht="39.6" x14ac:dyDescent="0.25">
      <c r="A286" s="12" t="s">
        <v>93</v>
      </c>
      <c r="B286" s="51" t="s">
        <v>399</v>
      </c>
      <c r="C286" s="12" t="s">
        <v>93</v>
      </c>
      <c r="D286" s="78" t="s">
        <v>359</v>
      </c>
      <c r="E286" s="13" t="s">
        <v>160</v>
      </c>
      <c r="F286" s="39">
        <v>46023</v>
      </c>
      <c r="G286" s="39"/>
      <c r="H286" s="14"/>
      <c r="I286" s="39">
        <v>46357</v>
      </c>
      <c r="J286" s="15" t="s">
        <v>36</v>
      </c>
      <c r="K286" s="79">
        <v>16000000</v>
      </c>
      <c r="L286" s="75"/>
      <c r="M286" s="79">
        <v>16000000</v>
      </c>
      <c r="N286" s="51" t="s">
        <v>460</v>
      </c>
    </row>
    <row r="287" spans="1:14" ht="39.6" x14ac:dyDescent="0.25">
      <c r="A287" s="12" t="s">
        <v>93</v>
      </c>
      <c r="B287" s="51" t="s">
        <v>400</v>
      </c>
      <c r="C287" s="12" t="s">
        <v>93</v>
      </c>
      <c r="D287" s="78" t="s">
        <v>359</v>
      </c>
      <c r="E287" s="13" t="s">
        <v>160</v>
      </c>
      <c r="F287" s="39">
        <v>46023</v>
      </c>
      <c r="G287" s="39"/>
      <c r="H287" s="14"/>
      <c r="I287" s="39">
        <v>46357</v>
      </c>
      <c r="J287" s="15" t="s">
        <v>36</v>
      </c>
      <c r="K287" s="79">
        <v>2895000</v>
      </c>
      <c r="L287" s="25"/>
      <c r="M287" s="79">
        <v>2895000</v>
      </c>
      <c r="N287" s="51" t="s">
        <v>461</v>
      </c>
    </row>
    <row r="288" spans="1:14" ht="39.6" x14ac:dyDescent="0.25">
      <c r="A288" s="12" t="s">
        <v>93</v>
      </c>
      <c r="B288" s="51" t="s">
        <v>401</v>
      </c>
      <c r="C288" s="12" t="s">
        <v>93</v>
      </c>
      <c r="D288" s="78" t="s">
        <v>359</v>
      </c>
      <c r="E288" s="13" t="s">
        <v>160</v>
      </c>
      <c r="F288" s="39">
        <v>46023</v>
      </c>
      <c r="G288" s="39"/>
      <c r="H288" s="14"/>
      <c r="I288" s="39">
        <v>46357</v>
      </c>
      <c r="J288" s="15" t="s">
        <v>36</v>
      </c>
      <c r="K288" s="79">
        <v>1930000</v>
      </c>
      <c r="L288" s="25"/>
      <c r="M288" s="79">
        <v>1930000</v>
      </c>
      <c r="N288" s="51" t="s">
        <v>461</v>
      </c>
    </row>
    <row r="289" spans="1:14" ht="39.6" x14ac:dyDescent="0.25">
      <c r="A289" s="12" t="s">
        <v>93</v>
      </c>
      <c r="B289" s="51" t="s">
        <v>402</v>
      </c>
      <c r="C289" s="12" t="s">
        <v>93</v>
      </c>
      <c r="D289" s="78" t="s">
        <v>359</v>
      </c>
      <c r="E289" s="13" t="s">
        <v>160</v>
      </c>
      <c r="F289" s="39">
        <v>46023</v>
      </c>
      <c r="G289" s="39"/>
      <c r="H289" s="14"/>
      <c r="I289" s="39">
        <v>46357</v>
      </c>
      <c r="J289" s="15" t="s">
        <v>36</v>
      </c>
      <c r="K289" s="79">
        <v>2243744</v>
      </c>
      <c r="L289" s="25"/>
      <c r="M289" s="79">
        <v>2243744</v>
      </c>
      <c r="N289" s="51" t="s">
        <v>461</v>
      </c>
    </row>
    <row r="290" spans="1:14" ht="39.6" x14ac:dyDescent="0.25">
      <c r="A290" s="12" t="s">
        <v>93</v>
      </c>
      <c r="B290" s="51" t="s">
        <v>403</v>
      </c>
      <c r="C290" s="12" t="s">
        <v>93</v>
      </c>
      <c r="D290" s="78" t="s">
        <v>359</v>
      </c>
      <c r="E290" s="13" t="s">
        <v>160</v>
      </c>
      <c r="F290" s="39">
        <v>46023</v>
      </c>
      <c r="G290" s="39"/>
      <c r="H290" s="14"/>
      <c r="I290" s="39">
        <v>46357</v>
      </c>
      <c r="J290" s="15" t="s">
        <v>36</v>
      </c>
      <c r="K290" s="79">
        <v>14073000</v>
      </c>
      <c r="L290" s="25"/>
      <c r="M290" s="79">
        <v>14073000</v>
      </c>
      <c r="N290" s="51" t="s">
        <v>461</v>
      </c>
    </row>
    <row r="291" spans="1:14" ht="39.6" x14ac:dyDescent="0.25">
      <c r="A291" s="12" t="s">
        <v>93</v>
      </c>
      <c r="B291" s="51" t="s">
        <v>402</v>
      </c>
      <c r="C291" s="12" t="s">
        <v>93</v>
      </c>
      <c r="D291" s="78" t="s">
        <v>359</v>
      </c>
      <c r="E291" s="13" t="s">
        <v>160</v>
      </c>
      <c r="F291" s="39">
        <v>46023</v>
      </c>
      <c r="G291" s="39"/>
      <c r="H291" s="14"/>
      <c r="I291" s="39">
        <v>46357</v>
      </c>
      <c r="J291" s="15" t="s">
        <v>36</v>
      </c>
      <c r="K291" s="79">
        <v>1402340</v>
      </c>
      <c r="L291" s="25"/>
      <c r="M291" s="79">
        <v>1402340</v>
      </c>
      <c r="N291" s="51" t="s">
        <v>461</v>
      </c>
    </row>
    <row r="292" spans="1:14" ht="39.6" x14ac:dyDescent="0.25">
      <c r="A292" s="12" t="s">
        <v>93</v>
      </c>
      <c r="B292" s="51" t="s">
        <v>391</v>
      </c>
      <c r="C292" s="12" t="s">
        <v>93</v>
      </c>
      <c r="D292" s="78" t="s">
        <v>359</v>
      </c>
      <c r="E292" s="13" t="s">
        <v>160</v>
      </c>
      <c r="F292" s="39">
        <v>46023</v>
      </c>
      <c r="G292" s="39"/>
      <c r="H292" s="14"/>
      <c r="I292" s="39">
        <v>46357</v>
      </c>
      <c r="J292" s="15" t="s">
        <v>36</v>
      </c>
      <c r="K292" s="79">
        <v>2016000</v>
      </c>
      <c r="L292" s="25"/>
      <c r="M292" s="79">
        <v>2016000</v>
      </c>
      <c r="N292" s="51" t="s">
        <v>461</v>
      </c>
    </row>
    <row r="293" spans="1:14" ht="39.6" x14ac:dyDescent="0.25">
      <c r="A293" s="12" t="s">
        <v>93</v>
      </c>
      <c r="B293" s="51" t="s">
        <v>402</v>
      </c>
      <c r="C293" s="12" t="s">
        <v>93</v>
      </c>
      <c r="D293" s="78" t="s">
        <v>359</v>
      </c>
      <c r="E293" s="13" t="s">
        <v>160</v>
      </c>
      <c r="F293" s="39">
        <v>46023</v>
      </c>
      <c r="G293" s="39"/>
      <c r="H293" s="14"/>
      <c r="I293" s="39">
        <v>46357</v>
      </c>
      <c r="J293" s="15" t="s">
        <v>36</v>
      </c>
      <c r="K293" s="79">
        <v>2524212</v>
      </c>
      <c r="L293" s="25"/>
      <c r="M293" s="79">
        <v>2524212</v>
      </c>
      <c r="N293" s="51" t="s">
        <v>461</v>
      </c>
    </row>
    <row r="294" spans="1:14" ht="409.6" x14ac:dyDescent="0.25">
      <c r="A294" s="12" t="s">
        <v>93</v>
      </c>
      <c r="B294" s="51" t="s">
        <v>404</v>
      </c>
      <c r="C294" s="12" t="s">
        <v>93</v>
      </c>
      <c r="D294" s="78" t="s">
        <v>359</v>
      </c>
      <c r="E294" s="13" t="s">
        <v>35</v>
      </c>
      <c r="F294" s="39">
        <v>46023</v>
      </c>
      <c r="G294" s="39"/>
      <c r="H294" s="14"/>
      <c r="I294" s="39">
        <v>46357</v>
      </c>
      <c r="J294" s="15" t="s">
        <v>36</v>
      </c>
      <c r="K294" s="79">
        <v>12930366.24</v>
      </c>
      <c r="L294" s="25"/>
      <c r="M294" s="79">
        <v>12930366.24</v>
      </c>
      <c r="N294" s="51" t="s">
        <v>461</v>
      </c>
    </row>
    <row r="295" spans="1:14" ht="409.6" x14ac:dyDescent="0.25">
      <c r="A295" s="12" t="s">
        <v>93</v>
      </c>
      <c r="B295" s="51" t="s">
        <v>405</v>
      </c>
      <c r="C295" s="12" t="s">
        <v>93</v>
      </c>
      <c r="D295" s="78" t="s">
        <v>359</v>
      </c>
      <c r="E295" s="13" t="s">
        <v>35</v>
      </c>
      <c r="F295" s="39">
        <v>46023</v>
      </c>
      <c r="G295" s="39"/>
      <c r="H295" s="14"/>
      <c r="I295" s="39">
        <v>46357</v>
      </c>
      <c r="J295" s="15" t="s">
        <v>36</v>
      </c>
      <c r="K295" s="79">
        <v>1710686.88</v>
      </c>
      <c r="L295" s="25"/>
      <c r="M295" s="79">
        <v>1710686.88</v>
      </c>
      <c r="N295" s="51" t="s">
        <v>461</v>
      </c>
    </row>
    <row r="296" spans="1:14" ht="39.6" x14ac:dyDescent="0.25">
      <c r="A296" s="12" t="s">
        <v>93</v>
      </c>
      <c r="B296" s="51" t="s">
        <v>406</v>
      </c>
      <c r="C296" s="12" t="s">
        <v>93</v>
      </c>
      <c r="D296" s="78" t="s">
        <v>359</v>
      </c>
      <c r="E296" s="13" t="s">
        <v>35</v>
      </c>
      <c r="F296" s="39">
        <v>46023</v>
      </c>
      <c r="G296" s="39"/>
      <c r="H296" s="14"/>
      <c r="I296" s="39">
        <v>46357</v>
      </c>
      <c r="J296" s="15" t="s">
        <v>36</v>
      </c>
      <c r="K296" s="79">
        <v>771542.98</v>
      </c>
      <c r="L296" s="25"/>
      <c r="M296" s="79">
        <v>771542.98</v>
      </c>
      <c r="N296" s="51" t="s">
        <v>461</v>
      </c>
    </row>
    <row r="297" spans="1:14" ht="52.8" x14ac:dyDescent="0.25">
      <c r="A297" s="12" t="s">
        <v>94</v>
      </c>
      <c r="B297" s="51" t="s">
        <v>407</v>
      </c>
      <c r="C297" s="12" t="s">
        <v>94</v>
      </c>
      <c r="D297" s="78" t="s">
        <v>359</v>
      </c>
      <c r="E297" s="13" t="s">
        <v>35</v>
      </c>
      <c r="F297" s="39">
        <v>46023</v>
      </c>
      <c r="G297" s="39"/>
      <c r="H297" s="14"/>
      <c r="I297" s="39">
        <v>46357</v>
      </c>
      <c r="J297" s="15" t="s">
        <v>36</v>
      </c>
      <c r="K297" s="79">
        <v>61996434.049999997</v>
      </c>
      <c r="L297" s="25"/>
      <c r="M297" s="79">
        <v>61996434.049999997</v>
      </c>
      <c r="N297" s="51" t="s">
        <v>461</v>
      </c>
    </row>
    <row r="298" spans="1:14" ht="39.6" x14ac:dyDescent="0.25">
      <c r="A298" s="12" t="s">
        <v>93</v>
      </c>
      <c r="B298" s="51" t="s">
        <v>408</v>
      </c>
      <c r="C298" s="12" t="s">
        <v>93</v>
      </c>
      <c r="D298" s="78" t="s">
        <v>359</v>
      </c>
      <c r="E298" s="13" t="s">
        <v>35</v>
      </c>
      <c r="F298" s="39">
        <v>46023</v>
      </c>
      <c r="G298" s="39"/>
      <c r="H298" s="14"/>
      <c r="I298" s="39">
        <v>46357</v>
      </c>
      <c r="J298" s="15" t="s">
        <v>36</v>
      </c>
      <c r="K298" s="79">
        <v>166236.21</v>
      </c>
      <c r="L298" s="25"/>
      <c r="M298" s="79">
        <v>166236.21</v>
      </c>
      <c r="N298" s="51" t="s">
        <v>461</v>
      </c>
    </row>
    <row r="299" spans="1:14" ht="39.6" x14ac:dyDescent="0.25">
      <c r="A299" s="12" t="s">
        <v>93</v>
      </c>
      <c r="B299" s="51" t="s">
        <v>409</v>
      </c>
      <c r="C299" s="12" t="s">
        <v>93</v>
      </c>
      <c r="D299" s="78" t="s">
        <v>359</v>
      </c>
      <c r="E299" s="13" t="s">
        <v>35</v>
      </c>
      <c r="F299" s="39">
        <v>46023</v>
      </c>
      <c r="G299" s="39"/>
      <c r="H299" s="14"/>
      <c r="I299" s="39">
        <v>46357</v>
      </c>
      <c r="J299" s="15" t="s">
        <v>36</v>
      </c>
      <c r="K299" s="79">
        <v>96416.88</v>
      </c>
      <c r="L299" s="25"/>
      <c r="M299" s="79">
        <v>96416.88</v>
      </c>
      <c r="N299" s="51" t="s">
        <v>461</v>
      </c>
    </row>
    <row r="300" spans="1:14" ht="39.6" x14ac:dyDescent="0.25">
      <c r="A300" s="12" t="s">
        <v>93</v>
      </c>
      <c r="B300" s="51" t="s">
        <v>410</v>
      </c>
      <c r="C300" s="12" t="s">
        <v>93</v>
      </c>
      <c r="D300" s="78" t="s">
        <v>359</v>
      </c>
      <c r="E300" s="13" t="s">
        <v>35</v>
      </c>
      <c r="F300" s="39">
        <v>46023</v>
      </c>
      <c r="G300" s="39"/>
      <c r="H300" s="14"/>
      <c r="I300" s="39">
        <v>46357</v>
      </c>
      <c r="J300" s="15" t="s">
        <v>36</v>
      </c>
      <c r="K300" s="79">
        <v>427560.12</v>
      </c>
      <c r="L300" s="25"/>
      <c r="M300" s="79">
        <v>427560.12</v>
      </c>
      <c r="N300" s="51" t="s">
        <v>461</v>
      </c>
    </row>
    <row r="301" spans="1:14" ht="39.6" x14ac:dyDescent="0.25">
      <c r="A301" s="12" t="s">
        <v>93</v>
      </c>
      <c r="B301" s="51" t="s">
        <v>411</v>
      </c>
      <c r="C301" s="12" t="s">
        <v>93</v>
      </c>
      <c r="D301" s="78" t="s">
        <v>359</v>
      </c>
      <c r="E301" s="13" t="s">
        <v>35</v>
      </c>
      <c r="F301" s="39">
        <v>46023</v>
      </c>
      <c r="G301" s="39"/>
      <c r="H301" s="14"/>
      <c r="I301" s="39">
        <v>46357</v>
      </c>
      <c r="J301" s="15" t="s">
        <v>36</v>
      </c>
      <c r="K301" s="79">
        <v>55767.75</v>
      </c>
      <c r="L301" s="25"/>
      <c r="M301" s="79">
        <v>55767.75</v>
      </c>
      <c r="N301" s="51" t="s">
        <v>461</v>
      </c>
    </row>
    <row r="302" spans="1:14" ht="39.6" x14ac:dyDescent="0.25">
      <c r="A302" s="12" t="s">
        <v>93</v>
      </c>
      <c r="B302" s="51" t="s">
        <v>412</v>
      </c>
      <c r="C302" s="12" t="s">
        <v>93</v>
      </c>
      <c r="D302" s="78" t="s">
        <v>359</v>
      </c>
      <c r="E302" s="13" t="s">
        <v>35</v>
      </c>
      <c r="F302" s="39">
        <v>46023</v>
      </c>
      <c r="G302" s="39"/>
      <c r="H302" s="14"/>
      <c r="I302" s="39">
        <v>46357</v>
      </c>
      <c r="J302" s="15" t="s">
        <v>36</v>
      </c>
      <c r="K302" s="79">
        <v>3850000</v>
      </c>
      <c r="L302" s="25"/>
      <c r="M302" s="79">
        <v>3850000</v>
      </c>
      <c r="N302" s="51" t="s">
        <v>461</v>
      </c>
    </row>
    <row r="303" spans="1:14" ht="39.6" x14ac:dyDescent="0.25">
      <c r="A303" s="12" t="s">
        <v>93</v>
      </c>
      <c r="B303" s="51" t="s">
        <v>413</v>
      </c>
      <c r="C303" s="12" t="s">
        <v>93</v>
      </c>
      <c r="D303" s="78" t="s">
        <v>359</v>
      </c>
      <c r="E303" s="13" t="s">
        <v>35</v>
      </c>
      <c r="F303" s="39">
        <v>46023</v>
      </c>
      <c r="G303" s="39"/>
      <c r="H303" s="14"/>
      <c r="I303" s="39">
        <v>46357</v>
      </c>
      <c r="J303" s="15" t="s">
        <v>36</v>
      </c>
      <c r="K303" s="79">
        <v>612000</v>
      </c>
      <c r="L303" s="25"/>
      <c r="M303" s="79">
        <v>612000</v>
      </c>
      <c r="N303" s="51" t="s">
        <v>461</v>
      </c>
    </row>
    <row r="304" spans="1:14" ht="39.6" x14ac:dyDescent="0.25">
      <c r="A304" s="12" t="s">
        <v>93</v>
      </c>
      <c r="B304" s="51" t="s">
        <v>414</v>
      </c>
      <c r="C304" s="12" t="s">
        <v>93</v>
      </c>
      <c r="D304" s="78" t="s">
        <v>359</v>
      </c>
      <c r="E304" s="13" t="s">
        <v>35</v>
      </c>
      <c r="F304" s="39">
        <v>46023</v>
      </c>
      <c r="G304" s="39"/>
      <c r="H304" s="14"/>
      <c r="I304" s="39">
        <v>46357</v>
      </c>
      <c r="J304" s="15" t="s">
        <v>36</v>
      </c>
      <c r="K304" s="79">
        <v>145000</v>
      </c>
      <c r="L304" s="25"/>
      <c r="M304" s="79">
        <v>145000</v>
      </c>
      <c r="N304" s="51" t="s">
        <v>461</v>
      </c>
    </row>
    <row r="305" spans="1:14" ht="39.6" x14ac:dyDescent="0.25">
      <c r="A305" s="12" t="s">
        <v>93</v>
      </c>
      <c r="B305" s="51" t="s">
        <v>415</v>
      </c>
      <c r="C305" s="12" t="s">
        <v>93</v>
      </c>
      <c r="D305" s="78" t="s">
        <v>359</v>
      </c>
      <c r="E305" s="13" t="s">
        <v>35</v>
      </c>
      <c r="F305" s="39">
        <v>46023</v>
      </c>
      <c r="G305" s="39"/>
      <c r="H305" s="14"/>
      <c r="I305" s="39">
        <v>46357</v>
      </c>
      <c r="J305" s="15" t="s">
        <v>36</v>
      </c>
      <c r="K305" s="79">
        <v>13300000</v>
      </c>
      <c r="L305" s="25"/>
      <c r="M305" s="79">
        <v>13300000</v>
      </c>
      <c r="N305" s="51" t="s">
        <v>461</v>
      </c>
    </row>
    <row r="306" spans="1:14" ht="39.6" x14ac:dyDescent="0.25">
      <c r="A306" s="12" t="s">
        <v>93</v>
      </c>
      <c r="B306" s="51" t="s">
        <v>416</v>
      </c>
      <c r="C306" s="12" t="s">
        <v>93</v>
      </c>
      <c r="D306" s="78" t="s">
        <v>359</v>
      </c>
      <c r="E306" s="13" t="s">
        <v>35</v>
      </c>
      <c r="F306" s="39">
        <v>46023</v>
      </c>
      <c r="G306" s="39"/>
      <c r="H306" s="14"/>
      <c r="I306" s="39">
        <v>46357</v>
      </c>
      <c r="J306" s="15" t="s">
        <v>36</v>
      </c>
      <c r="K306" s="79">
        <v>7743000</v>
      </c>
      <c r="L306" s="25"/>
      <c r="M306" s="79">
        <v>7743000</v>
      </c>
      <c r="N306" s="51" t="s">
        <v>461</v>
      </c>
    </row>
    <row r="307" spans="1:14" ht="39.6" x14ac:dyDescent="0.25">
      <c r="A307" s="12" t="s">
        <v>93</v>
      </c>
      <c r="B307" s="51" t="s">
        <v>392</v>
      </c>
      <c r="C307" s="12" t="s">
        <v>93</v>
      </c>
      <c r="D307" s="78" t="s">
        <v>359</v>
      </c>
      <c r="E307" s="13" t="s">
        <v>35</v>
      </c>
      <c r="F307" s="39">
        <v>46023</v>
      </c>
      <c r="G307" s="39"/>
      <c r="H307" s="14"/>
      <c r="I307" s="39">
        <v>46357</v>
      </c>
      <c r="J307" s="15" t="s">
        <v>36</v>
      </c>
      <c r="K307" s="79">
        <v>4500000</v>
      </c>
      <c r="L307" s="25"/>
      <c r="M307" s="79">
        <v>4500000</v>
      </c>
      <c r="N307" s="51" t="s">
        <v>461</v>
      </c>
    </row>
    <row r="308" spans="1:14" ht="39.6" x14ac:dyDescent="0.25">
      <c r="A308" s="12" t="s">
        <v>93</v>
      </c>
      <c r="B308" s="51" t="s">
        <v>417</v>
      </c>
      <c r="C308" s="12" t="s">
        <v>93</v>
      </c>
      <c r="D308" s="78" t="s">
        <v>359</v>
      </c>
      <c r="E308" s="13" t="s">
        <v>35</v>
      </c>
      <c r="F308" s="39">
        <v>46023</v>
      </c>
      <c r="G308" s="39"/>
      <c r="H308" s="14"/>
      <c r="I308" s="39">
        <v>46357</v>
      </c>
      <c r="J308" s="15" t="s">
        <v>36</v>
      </c>
      <c r="K308" s="79">
        <v>1700000</v>
      </c>
      <c r="L308" s="25"/>
      <c r="M308" s="79">
        <v>1700000</v>
      </c>
      <c r="N308" s="51" t="s">
        <v>461</v>
      </c>
    </row>
    <row r="309" spans="1:14" ht="39.6" x14ac:dyDescent="0.25">
      <c r="A309" s="12" t="s">
        <v>93</v>
      </c>
      <c r="B309" s="51" t="s">
        <v>418</v>
      </c>
      <c r="C309" s="12" t="s">
        <v>93</v>
      </c>
      <c r="D309" s="78" t="s">
        <v>359</v>
      </c>
      <c r="E309" s="13" t="s">
        <v>35</v>
      </c>
      <c r="F309" s="39">
        <v>46023</v>
      </c>
      <c r="G309" s="39"/>
      <c r="H309" s="14"/>
      <c r="I309" s="39">
        <v>46357</v>
      </c>
      <c r="J309" s="15" t="s">
        <v>36</v>
      </c>
      <c r="K309" s="79">
        <v>20800000</v>
      </c>
      <c r="L309" s="75"/>
      <c r="M309" s="79">
        <v>20800000</v>
      </c>
      <c r="N309" s="51" t="s">
        <v>462</v>
      </c>
    </row>
    <row r="310" spans="1:14" ht="39.6" x14ac:dyDescent="0.25">
      <c r="A310" s="12" t="s">
        <v>93</v>
      </c>
      <c r="B310" s="51" t="s">
        <v>419</v>
      </c>
      <c r="C310" s="12" t="s">
        <v>93</v>
      </c>
      <c r="D310" s="78" t="s">
        <v>359</v>
      </c>
      <c r="E310" s="13" t="s">
        <v>35</v>
      </c>
      <c r="F310" s="39">
        <v>46023</v>
      </c>
      <c r="G310" s="39"/>
      <c r="H310" s="14"/>
      <c r="I310" s="39">
        <v>46357</v>
      </c>
      <c r="J310" s="15" t="s">
        <v>36</v>
      </c>
      <c r="K310" s="79">
        <v>22644603.760000002</v>
      </c>
      <c r="L310" s="25"/>
      <c r="M310" s="79">
        <v>22644603.760000002</v>
      </c>
      <c r="N310" s="51" t="s">
        <v>462</v>
      </c>
    </row>
    <row r="311" spans="1:14" ht="39.6" x14ac:dyDescent="0.25">
      <c r="A311" s="12" t="s">
        <v>93</v>
      </c>
      <c r="B311" s="51" t="s">
        <v>420</v>
      </c>
      <c r="C311" s="12" t="s">
        <v>93</v>
      </c>
      <c r="D311" s="78" t="s">
        <v>359</v>
      </c>
      <c r="E311" s="13" t="s">
        <v>35</v>
      </c>
      <c r="F311" s="39">
        <v>46023</v>
      </c>
      <c r="G311" s="39"/>
      <c r="H311" s="14"/>
      <c r="I311" s="39">
        <v>46357</v>
      </c>
      <c r="J311" s="15" t="s">
        <v>36</v>
      </c>
      <c r="K311" s="79">
        <v>1004000</v>
      </c>
      <c r="L311" s="25"/>
      <c r="M311" s="79">
        <v>1004000</v>
      </c>
      <c r="N311" s="51" t="s">
        <v>462</v>
      </c>
    </row>
    <row r="312" spans="1:14" ht="39.6" x14ac:dyDescent="0.25">
      <c r="A312" s="12" t="s">
        <v>93</v>
      </c>
      <c r="B312" s="51" t="s">
        <v>421</v>
      </c>
      <c r="C312" s="12" t="s">
        <v>93</v>
      </c>
      <c r="D312" s="78" t="s">
        <v>359</v>
      </c>
      <c r="E312" s="13" t="s">
        <v>35</v>
      </c>
      <c r="F312" s="39">
        <v>46023</v>
      </c>
      <c r="G312" s="39"/>
      <c r="H312" s="14"/>
      <c r="I312" s="39">
        <v>46357</v>
      </c>
      <c r="J312" s="15" t="s">
        <v>36</v>
      </c>
      <c r="K312" s="79">
        <v>1053333.3400000001</v>
      </c>
      <c r="L312" s="25"/>
      <c r="M312" s="79">
        <v>1053333.3400000001</v>
      </c>
      <c r="N312" s="51" t="s">
        <v>462</v>
      </c>
    </row>
    <row r="313" spans="1:14" ht="39.6" x14ac:dyDescent="0.25">
      <c r="A313" s="12" t="s">
        <v>93</v>
      </c>
      <c r="B313" s="51" t="s">
        <v>422</v>
      </c>
      <c r="C313" s="12" t="s">
        <v>93</v>
      </c>
      <c r="D313" s="78" t="s">
        <v>359</v>
      </c>
      <c r="E313" s="13" t="s">
        <v>35</v>
      </c>
      <c r="F313" s="39">
        <v>46023</v>
      </c>
      <c r="G313" s="39"/>
      <c r="H313" s="14"/>
      <c r="I313" s="39">
        <v>46357</v>
      </c>
      <c r="J313" s="15" t="s">
        <v>36</v>
      </c>
      <c r="K313" s="79">
        <v>10680000</v>
      </c>
      <c r="L313" s="25"/>
      <c r="M313" s="79">
        <v>10680000</v>
      </c>
      <c r="N313" s="51" t="s">
        <v>462</v>
      </c>
    </row>
    <row r="314" spans="1:14" ht="39.6" x14ac:dyDescent="0.25">
      <c r="A314" s="12" t="s">
        <v>93</v>
      </c>
      <c r="B314" s="51" t="s">
        <v>423</v>
      </c>
      <c r="C314" s="12" t="s">
        <v>93</v>
      </c>
      <c r="D314" s="78" t="s">
        <v>359</v>
      </c>
      <c r="E314" s="13" t="s">
        <v>35</v>
      </c>
      <c r="F314" s="39">
        <v>46023</v>
      </c>
      <c r="G314" s="39"/>
      <c r="H314" s="14"/>
      <c r="I314" s="39">
        <v>46357</v>
      </c>
      <c r="J314" s="15" t="s">
        <v>36</v>
      </c>
      <c r="K314" s="79">
        <v>25000</v>
      </c>
      <c r="L314" s="25"/>
      <c r="M314" s="79">
        <v>25000</v>
      </c>
      <c r="N314" s="51" t="s">
        <v>462</v>
      </c>
    </row>
    <row r="315" spans="1:14" ht="39.6" x14ac:dyDescent="0.25">
      <c r="A315" s="12" t="s">
        <v>94</v>
      </c>
      <c r="B315" s="51" t="s">
        <v>392</v>
      </c>
      <c r="C315" s="12" t="s">
        <v>94</v>
      </c>
      <c r="D315" s="78" t="s">
        <v>359</v>
      </c>
      <c r="E315" s="13" t="s">
        <v>35</v>
      </c>
      <c r="F315" s="39">
        <v>46023</v>
      </c>
      <c r="G315" s="39"/>
      <c r="H315" s="14"/>
      <c r="I315" s="39">
        <v>46357</v>
      </c>
      <c r="J315" s="15" t="s">
        <v>36</v>
      </c>
      <c r="K315" s="79">
        <v>6800000</v>
      </c>
      <c r="L315" s="25"/>
      <c r="M315" s="79">
        <v>6800000</v>
      </c>
      <c r="N315" s="51" t="s">
        <v>462</v>
      </c>
    </row>
    <row r="316" spans="1:14" ht="39.6" x14ac:dyDescent="0.25">
      <c r="A316" s="12" t="s">
        <v>94</v>
      </c>
      <c r="B316" s="51" t="s">
        <v>424</v>
      </c>
      <c r="C316" s="12" t="s">
        <v>94</v>
      </c>
      <c r="D316" s="78" t="s">
        <v>359</v>
      </c>
      <c r="E316" s="13" t="s">
        <v>35</v>
      </c>
      <c r="F316" s="39">
        <v>46023</v>
      </c>
      <c r="G316" s="39"/>
      <c r="H316" s="14"/>
      <c r="I316" s="39">
        <v>46357</v>
      </c>
      <c r="J316" s="15" t="s">
        <v>36</v>
      </c>
      <c r="K316" s="79">
        <v>8500000</v>
      </c>
      <c r="L316" s="25"/>
      <c r="M316" s="79">
        <v>8500000</v>
      </c>
      <c r="N316" s="51" t="s">
        <v>462</v>
      </c>
    </row>
    <row r="317" spans="1:14" ht="39.6" x14ac:dyDescent="0.25">
      <c r="A317" s="12" t="s">
        <v>93</v>
      </c>
      <c r="B317" s="51" t="s">
        <v>417</v>
      </c>
      <c r="C317" s="12" t="s">
        <v>93</v>
      </c>
      <c r="D317" s="78" t="s">
        <v>359</v>
      </c>
      <c r="E317" s="13" t="s">
        <v>35</v>
      </c>
      <c r="F317" s="39">
        <v>46023</v>
      </c>
      <c r="G317" s="39"/>
      <c r="H317" s="14"/>
      <c r="I317" s="39">
        <v>46357</v>
      </c>
      <c r="J317" s="15" t="s">
        <v>36</v>
      </c>
      <c r="K317" s="79">
        <v>2250000</v>
      </c>
      <c r="L317" s="25"/>
      <c r="M317" s="79">
        <v>2250000</v>
      </c>
      <c r="N317" s="51" t="s">
        <v>462</v>
      </c>
    </row>
    <row r="318" spans="1:14" ht="39.6" x14ac:dyDescent="0.25">
      <c r="A318" s="12" t="s">
        <v>93</v>
      </c>
      <c r="B318" s="51" t="s">
        <v>425</v>
      </c>
      <c r="C318" s="12" t="s">
        <v>93</v>
      </c>
      <c r="D318" s="78" t="s">
        <v>359</v>
      </c>
      <c r="E318" s="13" t="s">
        <v>35</v>
      </c>
      <c r="F318" s="39">
        <v>46023</v>
      </c>
      <c r="G318" s="39"/>
      <c r="H318" s="14"/>
      <c r="I318" s="39">
        <v>46357</v>
      </c>
      <c r="J318" s="15" t="s">
        <v>36</v>
      </c>
      <c r="K318" s="79">
        <v>7228600</v>
      </c>
      <c r="L318" s="25"/>
      <c r="M318" s="79">
        <v>7228600</v>
      </c>
      <c r="N318" s="51" t="s">
        <v>462</v>
      </c>
    </row>
    <row r="319" spans="1:14" ht="39.6" x14ac:dyDescent="0.25">
      <c r="A319" s="12" t="s">
        <v>94</v>
      </c>
      <c r="B319" s="51" t="s">
        <v>426</v>
      </c>
      <c r="C319" s="12" t="s">
        <v>94</v>
      </c>
      <c r="D319" s="78" t="s">
        <v>359</v>
      </c>
      <c r="E319" s="13" t="s">
        <v>35</v>
      </c>
      <c r="F319" s="39">
        <v>46023</v>
      </c>
      <c r="G319" s="39"/>
      <c r="H319" s="14"/>
      <c r="I319" s="39">
        <v>46357</v>
      </c>
      <c r="J319" s="15" t="s">
        <v>36</v>
      </c>
      <c r="K319" s="79">
        <v>2532399.4293600004</v>
      </c>
      <c r="L319" s="25"/>
      <c r="M319" s="79">
        <v>2532399.4293600004</v>
      </c>
      <c r="N319" s="51" t="s">
        <v>462</v>
      </c>
    </row>
    <row r="320" spans="1:14" ht="39.6" x14ac:dyDescent="0.25">
      <c r="A320" s="12" t="s">
        <v>93</v>
      </c>
      <c r="B320" s="51" t="s">
        <v>427</v>
      </c>
      <c r="C320" s="12" t="s">
        <v>93</v>
      </c>
      <c r="D320" s="78" t="s">
        <v>359</v>
      </c>
      <c r="E320" s="13" t="s">
        <v>35</v>
      </c>
      <c r="F320" s="39">
        <v>46023</v>
      </c>
      <c r="G320" s="39"/>
      <c r="H320" s="14"/>
      <c r="I320" s="39">
        <v>46357</v>
      </c>
      <c r="J320" s="15" t="s">
        <v>36</v>
      </c>
      <c r="K320" s="79">
        <v>1722100</v>
      </c>
      <c r="L320" s="25"/>
      <c r="M320" s="79">
        <v>1722100</v>
      </c>
      <c r="N320" s="51" t="s">
        <v>462</v>
      </c>
    </row>
    <row r="321" spans="1:14" ht="39.6" x14ac:dyDescent="0.25">
      <c r="A321" s="12" t="s">
        <v>93</v>
      </c>
      <c r="B321" s="51" t="s">
        <v>428</v>
      </c>
      <c r="C321" s="12" t="s">
        <v>93</v>
      </c>
      <c r="D321" s="78" t="s">
        <v>359</v>
      </c>
      <c r="E321" s="13" t="s">
        <v>35</v>
      </c>
      <c r="F321" s="39">
        <v>46023</v>
      </c>
      <c r="G321" s="39"/>
      <c r="H321" s="14"/>
      <c r="I321" s="39">
        <v>46357</v>
      </c>
      <c r="J321" s="15" t="s">
        <v>36</v>
      </c>
      <c r="K321" s="79">
        <v>345960</v>
      </c>
      <c r="L321" s="25"/>
      <c r="M321" s="79">
        <v>345960</v>
      </c>
      <c r="N321" s="51" t="s">
        <v>463</v>
      </c>
    </row>
    <row r="322" spans="1:14" ht="39.6" x14ac:dyDescent="0.25">
      <c r="A322" s="12" t="s">
        <v>93</v>
      </c>
      <c r="B322" s="51" t="s">
        <v>369</v>
      </c>
      <c r="C322" s="12" t="s">
        <v>93</v>
      </c>
      <c r="D322" s="78" t="s">
        <v>359</v>
      </c>
      <c r="E322" s="13" t="s">
        <v>35</v>
      </c>
      <c r="F322" s="39">
        <v>46023</v>
      </c>
      <c r="G322" s="39"/>
      <c r="H322" s="14"/>
      <c r="I322" s="39">
        <v>46357</v>
      </c>
      <c r="J322" s="15" t="s">
        <v>36</v>
      </c>
      <c r="K322" s="79">
        <v>73140</v>
      </c>
      <c r="L322" s="25"/>
      <c r="M322" s="79">
        <v>73140</v>
      </c>
      <c r="N322" s="51" t="s">
        <v>463</v>
      </c>
    </row>
    <row r="323" spans="1:14" ht="39.6" x14ac:dyDescent="0.25">
      <c r="A323" s="12" t="s">
        <v>94</v>
      </c>
      <c r="B323" s="51" t="s">
        <v>373</v>
      </c>
      <c r="C323" s="12" t="s">
        <v>94</v>
      </c>
      <c r="D323" s="78" t="s">
        <v>359</v>
      </c>
      <c r="E323" s="13" t="s">
        <v>35</v>
      </c>
      <c r="F323" s="39">
        <v>46023</v>
      </c>
      <c r="G323" s="39"/>
      <c r="H323" s="14"/>
      <c r="I323" s="39">
        <v>46357</v>
      </c>
      <c r="J323" s="15" t="s">
        <v>36</v>
      </c>
      <c r="K323" s="79">
        <v>22200</v>
      </c>
      <c r="L323" s="25"/>
      <c r="M323" s="79">
        <v>22200</v>
      </c>
      <c r="N323" s="51" t="s">
        <v>463</v>
      </c>
    </row>
    <row r="324" spans="1:14" ht="39.6" x14ac:dyDescent="0.25">
      <c r="A324" s="12" t="s">
        <v>94</v>
      </c>
      <c r="B324" s="51" t="s">
        <v>371</v>
      </c>
      <c r="C324" s="12" t="s">
        <v>94</v>
      </c>
      <c r="D324" s="78" t="s">
        <v>359</v>
      </c>
      <c r="E324" s="13" t="s">
        <v>35</v>
      </c>
      <c r="F324" s="39">
        <v>46023</v>
      </c>
      <c r="G324" s="39"/>
      <c r="H324" s="14"/>
      <c r="I324" s="39">
        <v>46357</v>
      </c>
      <c r="J324" s="15" t="s">
        <v>36</v>
      </c>
      <c r="K324" s="79">
        <v>96000</v>
      </c>
      <c r="L324" s="25"/>
      <c r="M324" s="79">
        <v>96000</v>
      </c>
      <c r="N324" s="51" t="s">
        <v>463</v>
      </c>
    </row>
    <row r="325" spans="1:14" ht="39.6" x14ac:dyDescent="0.25">
      <c r="A325" s="12" t="s">
        <v>93</v>
      </c>
      <c r="B325" s="51" t="s">
        <v>429</v>
      </c>
      <c r="C325" s="12" t="s">
        <v>93</v>
      </c>
      <c r="D325" s="78" t="s">
        <v>359</v>
      </c>
      <c r="E325" s="13" t="s">
        <v>35</v>
      </c>
      <c r="F325" s="39">
        <v>46023</v>
      </c>
      <c r="G325" s="39"/>
      <c r="H325" s="14"/>
      <c r="I325" s="39">
        <v>46357</v>
      </c>
      <c r="J325" s="15" t="s">
        <v>36</v>
      </c>
      <c r="K325" s="79">
        <v>390000</v>
      </c>
      <c r="L325" s="25"/>
      <c r="M325" s="79">
        <v>390000</v>
      </c>
      <c r="N325" s="51" t="s">
        <v>463</v>
      </c>
    </row>
    <row r="326" spans="1:14" ht="39.6" x14ac:dyDescent="0.25">
      <c r="A326" s="12" t="s">
        <v>93</v>
      </c>
      <c r="B326" s="51" t="s">
        <v>387</v>
      </c>
      <c r="C326" s="12" t="s">
        <v>93</v>
      </c>
      <c r="D326" s="78" t="s">
        <v>359</v>
      </c>
      <c r="E326" s="13" t="s">
        <v>35</v>
      </c>
      <c r="F326" s="39">
        <v>46023</v>
      </c>
      <c r="G326" s="39"/>
      <c r="H326" s="14"/>
      <c r="I326" s="39">
        <v>46357</v>
      </c>
      <c r="J326" s="15" t="s">
        <v>36</v>
      </c>
      <c r="K326" s="79">
        <v>160896</v>
      </c>
      <c r="L326" s="25"/>
      <c r="M326" s="79">
        <v>160896</v>
      </c>
      <c r="N326" s="51" t="s">
        <v>463</v>
      </c>
    </row>
    <row r="327" spans="1:14" ht="39.6" x14ac:dyDescent="0.25">
      <c r="A327" s="12" t="s">
        <v>93</v>
      </c>
      <c r="B327" s="51" t="s">
        <v>388</v>
      </c>
      <c r="C327" s="12" t="s">
        <v>93</v>
      </c>
      <c r="D327" s="78" t="s">
        <v>359</v>
      </c>
      <c r="E327" s="13" t="s">
        <v>35</v>
      </c>
      <c r="F327" s="39">
        <v>46023</v>
      </c>
      <c r="G327" s="39"/>
      <c r="H327" s="14"/>
      <c r="I327" s="39">
        <v>46357</v>
      </c>
      <c r="J327" s="15" t="s">
        <v>36</v>
      </c>
      <c r="K327" s="79">
        <v>191160</v>
      </c>
      <c r="L327" s="25"/>
      <c r="M327" s="79">
        <v>191160</v>
      </c>
      <c r="N327" s="51" t="s">
        <v>463</v>
      </c>
    </row>
    <row r="328" spans="1:14" ht="39.6" x14ac:dyDescent="0.25">
      <c r="A328" s="12" t="s">
        <v>93</v>
      </c>
      <c r="B328" s="51" t="s">
        <v>390</v>
      </c>
      <c r="C328" s="12" t="s">
        <v>93</v>
      </c>
      <c r="D328" s="78" t="s">
        <v>359</v>
      </c>
      <c r="E328" s="13" t="s">
        <v>35</v>
      </c>
      <c r="F328" s="39">
        <v>46023</v>
      </c>
      <c r="G328" s="39"/>
      <c r="H328" s="14"/>
      <c r="I328" s="39">
        <v>46357</v>
      </c>
      <c r="J328" s="15" t="s">
        <v>36</v>
      </c>
      <c r="K328" s="79">
        <v>123911.52</v>
      </c>
      <c r="L328" s="25"/>
      <c r="M328" s="79">
        <v>123911.52</v>
      </c>
      <c r="N328" s="51" t="s">
        <v>463</v>
      </c>
    </row>
    <row r="329" spans="1:14" ht="39.6" x14ac:dyDescent="0.25">
      <c r="A329" s="12" t="s">
        <v>93</v>
      </c>
      <c r="B329" s="51" t="s">
        <v>398</v>
      </c>
      <c r="C329" s="12" t="s">
        <v>93</v>
      </c>
      <c r="D329" s="78" t="s">
        <v>359</v>
      </c>
      <c r="E329" s="13" t="s">
        <v>35</v>
      </c>
      <c r="F329" s="39">
        <v>46023</v>
      </c>
      <c r="G329" s="39"/>
      <c r="H329" s="14"/>
      <c r="I329" s="39">
        <v>46357</v>
      </c>
      <c r="J329" s="15" t="s">
        <v>36</v>
      </c>
      <c r="K329" s="79">
        <v>168000</v>
      </c>
      <c r="L329" s="25"/>
      <c r="M329" s="79">
        <v>168000</v>
      </c>
      <c r="N329" s="51" t="s">
        <v>463</v>
      </c>
    </row>
    <row r="330" spans="1:14" ht="39.6" x14ac:dyDescent="0.25">
      <c r="A330" s="12" t="s">
        <v>94</v>
      </c>
      <c r="B330" s="51" t="s">
        <v>392</v>
      </c>
      <c r="C330" s="12" t="s">
        <v>94</v>
      </c>
      <c r="D330" s="78" t="s">
        <v>359</v>
      </c>
      <c r="E330" s="13" t="s">
        <v>35</v>
      </c>
      <c r="F330" s="39">
        <v>46023</v>
      </c>
      <c r="G330" s="39"/>
      <c r="H330" s="14"/>
      <c r="I330" s="39">
        <v>46357</v>
      </c>
      <c r="J330" s="15" t="s">
        <v>36</v>
      </c>
      <c r="K330" s="79">
        <v>6065000</v>
      </c>
      <c r="L330" s="25"/>
      <c r="M330" s="79">
        <v>6065000</v>
      </c>
      <c r="N330" s="51" t="s">
        <v>463</v>
      </c>
    </row>
    <row r="331" spans="1:14" ht="39.6" x14ac:dyDescent="0.25">
      <c r="A331" s="12" t="s">
        <v>94</v>
      </c>
      <c r="B331" s="51" t="s">
        <v>424</v>
      </c>
      <c r="C331" s="12" t="s">
        <v>94</v>
      </c>
      <c r="D331" s="78" t="s">
        <v>359</v>
      </c>
      <c r="E331" s="13" t="s">
        <v>35</v>
      </c>
      <c r="F331" s="39">
        <v>46023</v>
      </c>
      <c r="G331" s="39"/>
      <c r="H331" s="14"/>
      <c r="I331" s="39">
        <v>46357</v>
      </c>
      <c r="J331" s="15" t="s">
        <v>36</v>
      </c>
      <c r="K331" s="79">
        <v>7228600</v>
      </c>
      <c r="L331" s="25"/>
      <c r="M331" s="79">
        <v>7228600</v>
      </c>
      <c r="N331" s="51" t="s">
        <v>463</v>
      </c>
    </row>
    <row r="332" spans="1:14" ht="39.6" x14ac:dyDescent="0.25">
      <c r="A332" s="12" t="s">
        <v>94</v>
      </c>
      <c r="B332" s="51" t="s">
        <v>417</v>
      </c>
      <c r="C332" s="12" t="s">
        <v>94</v>
      </c>
      <c r="D332" s="78" t="s">
        <v>359</v>
      </c>
      <c r="E332" s="13" t="s">
        <v>35</v>
      </c>
      <c r="F332" s="39">
        <v>46023</v>
      </c>
      <c r="G332" s="39"/>
      <c r="H332" s="14"/>
      <c r="I332" s="39">
        <v>46357</v>
      </c>
      <c r="J332" s="15" t="s">
        <v>36</v>
      </c>
      <c r="K332" s="79">
        <v>4164950</v>
      </c>
      <c r="L332" s="25"/>
      <c r="M332" s="79">
        <v>4164950</v>
      </c>
      <c r="N332" s="51" t="s">
        <v>463</v>
      </c>
    </row>
    <row r="333" spans="1:14" ht="39.6" x14ac:dyDescent="0.25">
      <c r="A333" s="12" t="s">
        <v>94</v>
      </c>
      <c r="B333" s="51" t="s">
        <v>430</v>
      </c>
      <c r="C333" s="12" t="s">
        <v>94</v>
      </c>
      <c r="D333" s="78" t="s">
        <v>359</v>
      </c>
      <c r="E333" s="13" t="s">
        <v>35</v>
      </c>
      <c r="F333" s="39">
        <v>46023</v>
      </c>
      <c r="G333" s="39"/>
      <c r="H333" s="14"/>
      <c r="I333" s="39">
        <v>46357</v>
      </c>
      <c r="J333" s="15" t="s">
        <v>36</v>
      </c>
      <c r="K333" s="79">
        <v>67800000</v>
      </c>
      <c r="L333" s="25"/>
      <c r="M333" s="79">
        <v>67800000</v>
      </c>
      <c r="N333" s="51" t="s">
        <v>464</v>
      </c>
    </row>
    <row r="334" spans="1:14" ht="39.6" x14ac:dyDescent="0.25">
      <c r="A334" s="12" t="s">
        <v>94</v>
      </c>
      <c r="B334" s="51" t="s">
        <v>431</v>
      </c>
      <c r="C334" s="12" t="s">
        <v>94</v>
      </c>
      <c r="D334" s="78" t="s">
        <v>359</v>
      </c>
      <c r="E334" s="13" t="s">
        <v>35</v>
      </c>
      <c r="F334" s="39">
        <v>46023</v>
      </c>
      <c r="G334" s="39"/>
      <c r="H334" s="14"/>
      <c r="I334" s="39">
        <v>46357</v>
      </c>
      <c r="J334" s="15" t="s">
        <v>36</v>
      </c>
      <c r="K334" s="79">
        <v>41825000</v>
      </c>
      <c r="L334" s="25"/>
      <c r="M334" s="79">
        <v>41825000</v>
      </c>
      <c r="N334" s="51" t="s">
        <v>464</v>
      </c>
    </row>
    <row r="335" spans="1:14" ht="39.6" x14ac:dyDescent="0.25">
      <c r="A335" s="12" t="s">
        <v>94</v>
      </c>
      <c r="B335" s="51" t="s">
        <v>432</v>
      </c>
      <c r="C335" s="12" t="s">
        <v>94</v>
      </c>
      <c r="D335" s="78" t="s">
        <v>359</v>
      </c>
      <c r="E335" s="13" t="s">
        <v>35</v>
      </c>
      <c r="F335" s="39">
        <v>46023</v>
      </c>
      <c r="G335" s="39"/>
      <c r="H335" s="14"/>
      <c r="I335" s="39">
        <v>46357</v>
      </c>
      <c r="J335" s="15" t="s">
        <v>36</v>
      </c>
      <c r="K335" s="79">
        <v>44800000</v>
      </c>
      <c r="L335" s="25"/>
      <c r="M335" s="79">
        <v>44800000</v>
      </c>
      <c r="N335" s="51" t="s">
        <v>464</v>
      </c>
    </row>
    <row r="336" spans="1:14" ht="39.6" x14ac:dyDescent="0.25">
      <c r="A336" s="12" t="s">
        <v>94</v>
      </c>
      <c r="B336" s="51" t="s">
        <v>433</v>
      </c>
      <c r="C336" s="12" t="s">
        <v>94</v>
      </c>
      <c r="D336" s="78" t="s">
        <v>359</v>
      </c>
      <c r="E336" s="13" t="s">
        <v>35</v>
      </c>
      <c r="F336" s="39">
        <v>46023</v>
      </c>
      <c r="G336" s="39"/>
      <c r="H336" s="14"/>
      <c r="I336" s="39">
        <v>46357</v>
      </c>
      <c r="J336" s="15" t="s">
        <v>36</v>
      </c>
      <c r="K336" s="79">
        <v>43700000</v>
      </c>
      <c r="L336" s="25"/>
      <c r="M336" s="79">
        <v>43700000</v>
      </c>
      <c r="N336" s="51" t="s">
        <v>464</v>
      </c>
    </row>
    <row r="337" spans="1:14" ht="39.6" x14ac:dyDescent="0.25">
      <c r="A337" s="12" t="s">
        <v>94</v>
      </c>
      <c r="B337" s="51" t="s">
        <v>434</v>
      </c>
      <c r="C337" s="12" t="s">
        <v>94</v>
      </c>
      <c r="D337" s="78" t="s">
        <v>359</v>
      </c>
      <c r="E337" s="13" t="s">
        <v>35</v>
      </c>
      <c r="F337" s="39">
        <v>46023</v>
      </c>
      <c r="G337" s="39"/>
      <c r="H337" s="14"/>
      <c r="I337" s="39">
        <v>46357</v>
      </c>
      <c r="J337" s="15" t="s">
        <v>36</v>
      </c>
      <c r="K337" s="79">
        <v>73800000</v>
      </c>
      <c r="L337" s="25"/>
      <c r="M337" s="79">
        <v>73800000</v>
      </c>
      <c r="N337" s="51" t="s">
        <v>464</v>
      </c>
    </row>
    <row r="338" spans="1:14" ht="39.6" x14ac:dyDescent="0.25">
      <c r="A338" s="12" t="s">
        <v>94</v>
      </c>
      <c r="B338" s="51" t="s">
        <v>435</v>
      </c>
      <c r="C338" s="12" t="s">
        <v>94</v>
      </c>
      <c r="D338" s="78" t="s">
        <v>359</v>
      </c>
      <c r="E338" s="13" t="s">
        <v>35</v>
      </c>
      <c r="F338" s="39">
        <v>46023</v>
      </c>
      <c r="G338" s="39"/>
      <c r="H338" s="14"/>
      <c r="I338" s="39">
        <v>46357</v>
      </c>
      <c r="J338" s="15" t="s">
        <v>36</v>
      </c>
      <c r="K338" s="79">
        <v>41875000</v>
      </c>
      <c r="L338" s="25"/>
      <c r="M338" s="79">
        <v>41875000</v>
      </c>
      <c r="N338" s="51" t="s">
        <v>464</v>
      </c>
    </row>
    <row r="339" spans="1:14" ht="52.8" x14ac:dyDescent="0.25">
      <c r="A339" s="12" t="s">
        <v>93</v>
      </c>
      <c r="B339" s="51" t="s">
        <v>436</v>
      </c>
      <c r="C339" s="12" t="s">
        <v>93</v>
      </c>
      <c r="D339" s="78" t="s">
        <v>359</v>
      </c>
      <c r="E339" s="13" t="s">
        <v>35</v>
      </c>
      <c r="F339" s="39">
        <v>46023</v>
      </c>
      <c r="G339" s="39"/>
      <c r="H339" s="14"/>
      <c r="I339" s="39">
        <v>46357</v>
      </c>
      <c r="J339" s="15" t="s">
        <v>36</v>
      </c>
      <c r="K339" s="79">
        <v>110270000</v>
      </c>
      <c r="L339" s="25"/>
      <c r="M339" s="79">
        <v>110270000</v>
      </c>
      <c r="N339" s="51" t="s">
        <v>465</v>
      </c>
    </row>
    <row r="340" spans="1:14" ht="52.8" x14ac:dyDescent="0.25">
      <c r="A340" s="12" t="s">
        <v>93</v>
      </c>
      <c r="B340" s="51" t="s">
        <v>392</v>
      </c>
      <c r="C340" s="12" t="s">
        <v>93</v>
      </c>
      <c r="D340" s="78" t="s">
        <v>359</v>
      </c>
      <c r="E340" s="13" t="s">
        <v>35</v>
      </c>
      <c r="F340" s="39">
        <v>46023</v>
      </c>
      <c r="G340" s="39"/>
      <c r="H340" s="14"/>
      <c r="I340" s="39">
        <v>46357</v>
      </c>
      <c r="J340" s="15" t="s">
        <v>36</v>
      </c>
      <c r="K340" s="79">
        <v>30401000</v>
      </c>
      <c r="L340" s="25"/>
      <c r="M340" s="79">
        <v>30401000</v>
      </c>
      <c r="N340" s="51" t="s">
        <v>465</v>
      </c>
    </row>
    <row r="341" spans="1:14" ht="52.8" x14ac:dyDescent="0.25">
      <c r="A341" s="12" t="s">
        <v>93</v>
      </c>
      <c r="B341" s="51" t="s">
        <v>437</v>
      </c>
      <c r="C341" s="12" t="s">
        <v>93</v>
      </c>
      <c r="D341" s="78" t="s">
        <v>359</v>
      </c>
      <c r="E341" s="13" t="s">
        <v>35</v>
      </c>
      <c r="F341" s="39">
        <v>46023</v>
      </c>
      <c r="G341" s="39"/>
      <c r="H341" s="14"/>
      <c r="I341" s="39">
        <v>46357</v>
      </c>
      <c r="J341" s="15" t="s">
        <v>36</v>
      </c>
      <c r="K341" s="79">
        <v>2150000</v>
      </c>
      <c r="L341" s="25"/>
      <c r="M341" s="79">
        <v>2150000</v>
      </c>
      <c r="N341" s="51" t="s">
        <v>466</v>
      </c>
    </row>
    <row r="342" spans="1:14" ht="52.8" x14ac:dyDescent="0.25">
      <c r="A342" s="12" t="s">
        <v>93</v>
      </c>
      <c r="B342" s="51" t="s">
        <v>438</v>
      </c>
      <c r="C342" s="12" t="s">
        <v>93</v>
      </c>
      <c r="D342" s="78" t="s">
        <v>359</v>
      </c>
      <c r="E342" s="13" t="s">
        <v>35</v>
      </c>
      <c r="F342" s="39">
        <v>46023</v>
      </c>
      <c r="G342" s="39"/>
      <c r="H342" s="14"/>
      <c r="I342" s="39">
        <v>46357</v>
      </c>
      <c r="J342" s="15" t="s">
        <v>36</v>
      </c>
      <c r="K342" s="79">
        <v>8654088</v>
      </c>
      <c r="L342" s="25"/>
      <c r="M342" s="79">
        <v>8654088</v>
      </c>
      <c r="N342" s="51" t="s">
        <v>466</v>
      </c>
    </row>
    <row r="343" spans="1:14" ht="52.8" x14ac:dyDescent="0.25">
      <c r="A343" s="12" t="s">
        <v>93</v>
      </c>
      <c r="B343" s="51" t="s">
        <v>439</v>
      </c>
      <c r="C343" s="12" t="s">
        <v>93</v>
      </c>
      <c r="D343" s="78" t="s">
        <v>359</v>
      </c>
      <c r="E343" s="13" t="s">
        <v>35</v>
      </c>
      <c r="F343" s="39">
        <v>46023</v>
      </c>
      <c r="G343" s="39"/>
      <c r="H343" s="14"/>
      <c r="I343" s="39">
        <v>46357</v>
      </c>
      <c r="J343" s="15" t="s">
        <v>36</v>
      </c>
      <c r="K343" s="79">
        <v>288000</v>
      </c>
      <c r="L343" s="25"/>
      <c r="M343" s="79">
        <v>288000</v>
      </c>
      <c r="N343" s="51" t="s">
        <v>466</v>
      </c>
    </row>
    <row r="344" spans="1:14" ht="52.8" x14ac:dyDescent="0.25">
      <c r="A344" s="12" t="s">
        <v>93</v>
      </c>
      <c r="B344" s="51" t="s">
        <v>392</v>
      </c>
      <c r="C344" s="12" t="s">
        <v>93</v>
      </c>
      <c r="D344" s="78" t="s">
        <v>359</v>
      </c>
      <c r="E344" s="13" t="s">
        <v>35</v>
      </c>
      <c r="F344" s="39">
        <v>46023</v>
      </c>
      <c r="G344" s="39"/>
      <c r="H344" s="14"/>
      <c r="I344" s="39">
        <v>46357</v>
      </c>
      <c r="J344" s="15" t="s">
        <v>36</v>
      </c>
      <c r="K344" s="79">
        <v>919516.65</v>
      </c>
      <c r="L344" s="25"/>
      <c r="M344" s="79">
        <v>919516.65</v>
      </c>
      <c r="N344" s="51" t="s">
        <v>466</v>
      </c>
    </row>
    <row r="345" spans="1:14" ht="52.8" x14ac:dyDescent="0.25">
      <c r="A345" s="12" t="s">
        <v>93</v>
      </c>
      <c r="B345" s="51" t="s">
        <v>440</v>
      </c>
      <c r="C345" s="12" t="s">
        <v>93</v>
      </c>
      <c r="D345" s="78" t="s">
        <v>359</v>
      </c>
      <c r="E345" s="13" t="s">
        <v>35</v>
      </c>
      <c r="F345" s="39">
        <v>46023</v>
      </c>
      <c r="G345" s="39"/>
      <c r="H345" s="14"/>
      <c r="I345" s="39">
        <v>46357</v>
      </c>
      <c r="J345" s="15" t="s">
        <v>36</v>
      </c>
      <c r="K345" s="79">
        <v>535851.97</v>
      </c>
      <c r="L345" s="25"/>
      <c r="M345" s="79">
        <v>535851.97</v>
      </c>
      <c r="N345" s="51" t="s">
        <v>467</v>
      </c>
    </row>
    <row r="346" spans="1:14" ht="52.8" x14ac:dyDescent="0.25">
      <c r="A346" s="12" t="s">
        <v>93</v>
      </c>
      <c r="B346" s="51" t="s">
        <v>441</v>
      </c>
      <c r="C346" s="12" t="s">
        <v>93</v>
      </c>
      <c r="D346" s="78" t="s">
        <v>359</v>
      </c>
      <c r="E346" s="13" t="s">
        <v>35</v>
      </c>
      <c r="F346" s="39">
        <v>46023</v>
      </c>
      <c r="G346" s="39"/>
      <c r="H346" s="14"/>
      <c r="I346" s="39">
        <v>46357</v>
      </c>
      <c r="J346" s="15" t="s">
        <v>36</v>
      </c>
      <c r="K346" s="79">
        <v>3164148.03</v>
      </c>
      <c r="L346" s="25"/>
      <c r="M346" s="79">
        <v>3164148.03</v>
      </c>
      <c r="N346" s="51" t="s">
        <v>467</v>
      </c>
    </row>
    <row r="347" spans="1:14" ht="52.8" x14ac:dyDescent="0.25">
      <c r="A347" s="12" t="s">
        <v>93</v>
      </c>
      <c r="B347" s="51" t="s">
        <v>424</v>
      </c>
      <c r="C347" s="12" t="s">
        <v>93</v>
      </c>
      <c r="D347" s="78" t="s">
        <v>359</v>
      </c>
      <c r="E347" s="13" t="s">
        <v>35</v>
      </c>
      <c r="F347" s="39">
        <v>46023</v>
      </c>
      <c r="G347" s="39"/>
      <c r="H347" s="14"/>
      <c r="I347" s="39">
        <v>46357</v>
      </c>
      <c r="J347" s="15" t="s">
        <v>36</v>
      </c>
      <c r="K347" s="79">
        <v>2300000</v>
      </c>
      <c r="L347" s="25"/>
      <c r="M347" s="79">
        <v>2300000</v>
      </c>
      <c r="N347" s="51" t="s">
        <v>467</v>
      </c>
    </row>
    <row r="348" spans="1:14" ht="52.8" x14ac:dyDescent="0.25">
      <c r="A348" s="12" t="s">
        <v>94</v>
      </c>
      <c r="B348" s="51" t="s">
        <v>442</v>
      </c>
      <c r="C348" s="12" t="s">
        <v>94</v>
      </c>
      <c r="D348" s="78" t="s">
        <v>359</v>
      </c>
      <c r="E348" s="13" t="s">
        <v>35</v>
      </c>
      <c r="F348" s="39">
        <v>46023</v>
      </c>
      <c r="G348" s="39"/>
      <c r="H348" s="14"/>
      <c r="I348" s="39">
        <v>46357</v>
      </c>
      <c r="J348" s="15" t="s">
        <v>36</v>
      </c>
      <c r="K348" s="79">
        <v>10000000</v>
      </c>
      <c r="L348" s="25"/>
      <c r="M348" s="79">
        <v>10000000</v>
      </c>
      <c r="N348" s="51" t="s">
        <v>468</v>
      </c>
    </row>
    <row r="349" spans="1:14" ht="52.8" x14ac:dyDescent="0.25">
      <c r="A349" s="12" t="s">
        <v>94</v>
      </c>
      <c r="B349" s="51" t="s">
        <v>443</v>
      </c>
      <c r="C349" s="12" t="s">
        <v>94</v>
      </c>
      <c r="D349" s="78" t="s">
        <v>359</v>
      </c>
      <c r="E349" s="13" t="s">
        <v>35</v>
      </c>
      <c r="F349" s="39">
        <v>46023</v>
      </c>
      <c r="G349" s="39"/>
      <c r="H349" s="14"/>
      <c r="I349" s="39">
        <v>46357</v>
      </c>
      <c r="J349" s="15" t="s">
        <v>36</v>
      </c>
      <c r="K349" s="79">
        <v>9500000</v>
      </c>
      <c r="L349" s="25"/>
      <c r="M349" s="79">
        <v>9500000</v>
      </c>
      <c r="N349" s="51" t="s">
        <v>468</v>
      </c>
    </row>
    <row r="350" spans="1:14" ht="52.8" x14ac:dyDescent="0.25">
      <c r="A350" s="12" t="s">
        <v>94</v>
      </c>
      <c r="B350" s="51" t="s">
        <v>444</v>
      </c>
      <c r="C350" s="12" t="s">
        <v>94</v>
      </c>
      <c r="D350" s="78" t="s">
        <v>359</v>
      </c>
      <c r="E350" s="13" t="s">
        <v>35</v>
      </c>
      <c r="F350" s="39">
        <v>46023</v>
      </c>
      <c r="G350" s="39"/>
      <c r="H350" s="14"/>
      <c r="I350" s="39">
        <v>46357</v>
      </c>
      <c r="J350" s="15" t="s">
        <v>36</v>
      </c>
      <c r="K350" s="79">
        <v>750000</v>
      </c>
      <c r="L350" s="25"/>
      <c r="M350" s="79">
        <v>750000</v>
      </c>
      <c r="N350" s="51" t="s">
        <v>468</v>
      </c>
    </row>
    <row r="351" spans="1:14" ht="52.8" x14ac:dyDescent="0.25">
      <c r="A351" s="12" t="s">
        <v>93</v>
      </c>
      <c r="B351" s="51" t="s">
        <v>445</v>
      </c>
      <c r="C351" s="12" t="s">
        <v>93</v>
      </c>
      <c r="D351" s="78" t="s">
        <v>359</v>
      </c>
      <c r="E351" s="13" t="s">
        <v>35</v>
      </c>
      <c r="F351" s="39">
        <v>46023</v>
      </c>
      <c r="G351" s="39"/>
      <c r="H351" s="14"/>
      <c r="I351" s="39">
        <v>46357</v>
      </c>
      <c r="J351" s="15" t="s">
        <v>36</v>
      </c>
      <c r="K351" s="79">
        <v>50000</v>
      </c>
      <c r="L351" s="75"/>
      <c r="M351" s="79">
        <v>50000</v>
      </c>
      <c r="N351" s="51" t="s">
        <v>468</v>
      </c>
    </row>
    <row r="352" spans="1:14" ht="52.8" x14ac:dyDescent="0.25">
      <c r="A352" s="12" t="s">
        <v>93</v>
      </c>
      <c r="B352" s="51" t="s">
        <v>446</v>
      </c>
      <c r="C352" s="12" t="s">
        <v>93</v>
      </c>
      <c r="D352" s="78" t="s">
        <v>359</v>
      </c>
      <c r="E352" s="13" t="s">
        <v>35</v>
      </c>
      <c r="F352" s="39">
        <v>46023</v>
      </c>
      <c r="G352" s="39"/>
      <c r="H352" s="14"/>
      <c r="I352" s="39">
        <v>46357</v>
      </c>
      <c r="J352" s="15" t="s">
        <v>36</v>
      </c>
      <c r="K352" s="79">
        <v>10000</v>
      </c>
      <c r="L352" s="25"/>
      <c r="M352" s="79">
        <v>10000</v>
      </c>
      <c r="N352" s="51" t="s">
        <v>468</v>
      </c>
    </row>
    <row r="353" spans="1:14" ht="52.8" x14ac:dyDescent="0.25">
      <c r="A353" s="12" t="s">
        <v>93</v>
      </c>
      <c r="B353" s="51" t="s">
        <v>447</v>
      </c>
      <c r="C353" s="12" t="s">
        <v>93</v>
      </c>
      <c r="D353" s="78" t="s">
        <v>359</v>
      </c>
      <c r="E353" s="13" t="s">
        <v>35</v>
      </c>
      <c r="F353" s="39">
        <v>46023</v>
      </c>
      <c r="G353" s="39"/>
      <c r="H353" s="14"/>
      <c r="I353" s="39">
        <v>46357</v>
      </c>
      <c r="J353" s="15" t="s">
        <v>36</v>
      </c>
      <c r="K353" s="79">
        <v>400000</v>
      </c>
      <c r="L353" s="25"/>
      <c r="M353" s="79">
        <v>400000</v>
      </c>
      <c r="N353" s="51" t="s">
        <v>468</v>
      </c>
    </row>
    <row r="354" spans="1:14" ht="52.8" x14ac:dyDescent="0.25">
      <c r="A354" s="12" t="s">
        <v>93</v>
      </c>
      <c r="B354" s="51" t="s">
        <v>448</v>
      </c>
      <c r="C354" s="12" t="s">
        <v>93</v>
      </c>
      <c r="D354" s="78" t="s">
        <v>359</v>
      </c>
      <c r="E354" s="13" t="s">
        <v>35</v>
      </c>
      <c r="F354" s="39">
        <v>46023</v>
      </c>
      <c r="G354" s="39"/>
      <c r="H354" s="14"/>
      <c r="I354" s="39">
        <v>46357</v>
      </c>
      <c r="J354" s="15" t="s">
        <v>36</v>
      </c>
      <c r="K354" s="79">
        <v>290000</v>
      </c>
      <c r="L354" s="25"/>
      <c r="M354" s="79">
        <v>290000</v>
      </c>
      <c r="N354" s="51" t="s">
        <v>468</v>
      </c>
    </row>
    <row r="355" spans="1:14" ht="39.6" x14ac:dyDescent="0.25">
      <c r="A355" s="12" t="s">
        <v>92</v>
      </c>
      <c r="B355" s="51" t="s">
        <v>449</v>
      </c>
      <c r="C355" s="12" t="s">
        <v>92</v>
      </c>
      <c r="D355" s="78" t="s">
        <v>359</v>
      </c>
      <c r="E355" s="13" t="s">
        <v>35</v>
      </c>
      <c r="F355" s="39">
        <v>46023</v>
      </c>
      <c r="G355" s="39"/>
      <c r="H355" s="14"/>
      <c r="I355" s="39">
        <v>46357</v>
      </c>
      <c r="J355" s="15" t="s">
        <v>36</v>
      </c>
      <c r="K355" s="79">
        <v>1200000</v>
      </c>
      <c r="L355" s="25"/>
      <c r="M355" s="79">
        <v>1200000</v>
      </c>
      <c r="N355" s="51" t="s">
        <v>469</v>
      </c>
    </row>
    <row r="356" spans="1:14" ht="39.6" x14ac:dyDescent="0.25">
      <c r="A356" s="12" t="s">
        <v>92</v>
      </c>
      <c r="B356" s="51" t="s">
        <v>450</v>
      </c>
      <c r="C356" s="12" t="s">
        <v>92</v>
      </c>
      <c r="D356" s="78" t="s">
        <v>359</v>
      </c>
      <c r="E356" s="13" t="s">
        <v>35</v>
      </c>
      <c r="F356" s="39">
        <v>46023</v>
      </c>
      <c r="G356" s="39"/>
      <c r="H356" s="14"/>
      <c r="I356" s="39">
        <v>46357</v>
      </c>
      <c r="J356" s="15" t="s">
        <v>36</v>
      </c>
      <c r="K356" s="79">
        <v>3600000</v>
      </c>
      <c r="L356" s="25"/>
      <c r="M356" s="79">
        <v>3600000</v>
      </c>
      <c r="N356" s="51" t="s">
        <v>469</v>
      </c>
    </row>
    <row r="357" spans="1:14" ht="39.6" x14ac:dyDescent="0.25">
      <c r="A357" s="12" t="s">
        <v>93</v>
      </c>
      <c r="B357" s="51" t="s">
        <v>451</v>
      </c>
      <c r="C357" s="12" t="s">
        <v>93</v>
      </c>
      <c r="D357" s="78" t="s">
        <v>359</v>
      </c>
      <c r="E357" s="13" t="s">
        <v>35</v>
      </c>
      <c r="F357" s="39">
        <v>46023</v>
      </c>
      <c r="G357" s="39"/>
      <c r="H357" s="14"/>
      <c r="I357" s="39">
        <v>46357</v>
      </c>
      <c r="J357" s="15" t="s">
        <v>36</v>
      </c>
      <c r="K357" s="79">
        <v>960000</v>
      </c>
      <c r="L357" s="25"/>
      <c r="M357" s="79">
        <v>960000</v>
      </c>
      <c r="N357" s="51" t="s">
        <v>469</v>
      </c>
    </row>
    <row r="358" spans="1:14" ht="52.8" x14ac:dyDescent="0.25">
      <c r="A358" s="12" t="s">
        <v>94</v>
      </c>
      <c r="B358" s="51" t="s">
        <v>452</v>
      </c>
      <c r="C358" s="12" t="s">
        <v>94</v>
      </c>
      <c r="D358" s="78" t="s">
        <v>359</v>
      </c>
      <c r="E358" s="13" t="s">
        <v>35</v>
      </c>
      <c r="F358" s="39">
        <v>46023</v>
      </c>
      <c r="G358" s="39"/>
      <c r="H358" s="14"/>
      <c r="I358" s="39">
        <v>46357</v>
      </c>
      <c r="J358" s="15" t="s">
        <v>36</v>
      </c>
      <c r="K358" s="79">
        <v>9000000</v>
      </c>
      <c r="L358" s="25"/>
      <c r="M358" s="79">
        <v>9000000</v>
      </c>
      <c r="N358" s="51" t="s">
        <v>470</v>
      </c>
    </row>
    <row r="359" spans="1:14" ht="52.8" x14ac:dyDescent="0.25">
      <c r="A359" s="12" t="s">
        <v>94</v>
      </c>
      <c r="B359" s="51" t="s">
        <v>453</v>
      </c>
      <c r="C359" s="12" t="s">
        <v>94</v>
      </c>
      <c r="D359" s="78" t="s">
        <v>359</v>
      </c>
      <c r="E359" s="13" t="s">
        <v>35</v>
      </c>
      <c r="F359" s="39">
        <v>46023</v>
      </c>
      <c r="G359" s="39"/>
      <c r="H359" s="14"/>
      <c r="I359" s="39">
        <v>46357</v>
      </c>
      <c r="J359" s="15" t="s">
        <v>36</v>
      </c>
      <c r="K359" s="79">
        <v>4000000</v>
      </c>
      <c r="L359" s="25"/>
      <c r="M359" s="79">
        <v>4000000</v>
      </c>
      <c r="N359" s="51" t="s">
        <v>470</v>
      </c>
    </row>
    <row r="360" spans="1:14" ht="52.8" x14ac:dyDescent="0.25">
      <c r="A360" s="12" t="s">
        <v>94</v>
      </c>
      <c r="B360" s="51" t="s">
        <v>454</v>
      </c>
      <c r="C360" s="12" t="s">
        <v>94</v>
      </c>
      <c r="D360" s="78" t="s">
        <v>359</v>
      </c>
      <c r="E360" s="13" t="s">
        <v>35</v>
      </c>
      <c r="F360" s="39">
        <v>46023</v>
      </c>
      <c r="G360" s="39"/>
      <c r="H360" s="14"/>
      <c r="I360" s="39">
        <v>46357</v>
      </c>
      <c r="J360" s="15" t="s">
        <v>36</v>
      </c>
      <c r="K360" s="79">
        <v>9000000</v>
      </c>
      <c r="L360" s="25"/>
      <c r="M360" s="79">
        <v>9000000</v>
      </c>
      <c r="N360" s="51" t="s">
        <v>470</v>
      </c>
    </row>
    <row r="361" spans="1:14" ht="52.8" x14ac:dyDescent="0.25">
      <c r="A361" s="12" t="s">
        <v>93</v>
      </c>
      <c r="B361" s="51" t="s">
        <v>455</v>
      </c>
      <c r="C361" s="12" t="s">
        <v>93</v>
      </c>
      <c r="D361" s="78" t="s">
        <v>359</v>
      </c>
      <c r="E361" s="13" t="s">
        <v>35</v>
      </c>
      <c r="F361" s="39">
        <v>46023</v>
      </c>
      <c r="G361" s="39"/>
      <c r="H361" s="14"/>
      <c r="I361" s="39">
        <v>46357</v>
      </c>
      <c r="J361" s="15" t="s">
        <v>36</v>
      </c>
      <c r="K361" s="79">
        <v>1000000</v>
      </c>
      <c r="L361" s="25"/>
      <c r="M361" s="79">
        <v>1000000</v>
      </c>
      <c r="N361" s="51" t="s">
        <v>470</v>
      </c>
    </row>
    <row r="362" spans="1:14" ht="39.6" x14ac:dyDescent="0.25">
      <c r="A362" s="12" t="s">
        <v>93</v>
      </c>
      <c r="B362" s="51" t="s">
        <v>456</v>
      </c>
      <c r="C362" s="12" t="s">
        <v>93</v>
      </c>
      <c r="D362" s="78" t="s">
        <v>359</v>
      </c>
      <c r="E362" s="13" t="s">
        <v>35</v>
      </c>
      <c r="F362" s="39">
        <v>46023</v>
      </c>
      <c r="G362" s="39"/>
      <c r="H362" s="14"/>
      <c r="I362" s="39">
        <v>46357</v>
      </c>
      <c r="J362" s="15" t="s">
        <v>36</v>
      </c>
      <c r="K362" s="79">
        <v>7040000</v>
      </c>
      <c r="L362" s="79"/>
      <c r="M362" s="79">
        <v>7040000</v>
      </c>
      <c r="N362" s="51" t="s">
        <v>471</v>
      </c>
    </row>
    <row r="363" spans="1:14" ht="15" customHeight="1" x14ac:dyDescent="0.25">
      <c r="A363" s="12"/>
      <c r="B363" s="48"/>
      <c r="C363" s="35"/>
      <c r="D363" s="57"/>
      <c r="E363" s="13"/>
      <c r="F363" s="14"/>
      <c r="G363" s="14"/>
      <c r="H363" s="14"/>
      <c r="I363" s="14"/>
      <c r="J363" s="15"/>
      <c r="K363" s="62"/>
      <c r="L363" s="25"/>
      <c r="M363" s="16"/>
      <c r="N363" s="17"/>
    </row>
  </sheetData>
  <autoFilter ref="A4:AQ362" xr:uid="{00000000-0009-0000-0000-000000000000}"/>
  <mergeCells count="19">
    <mergeCell ref="D1:E1"/>
    <mergeCell ref="A2:AQ2"/>
    <mergeCell ref="P3:P4"/>
    <mergeCell ref="Q3:AB3"/>
    <mergeCell ref="AC3:AC4"/>
    <mergeCell ref="AD3:AF3"/>
    <mergeCell ref="AG3:AG4"/>
    <mergeCell ref="F3:I3"/>
    <mergeCell ref="J3:J4"/>
    <mergeCell ref="K3:M3"/>
    <mergeCell ref="A3:A4"/>
    <mergeCell ref="B3:B4"/>
    <mergeCell ref="C3:C4"/>
    <mergeCell ref="D3:D4"/>
    <mergeCell ref="E3:E4"/>
    <mergeCell ref="N3:N4"/>
    <mergeCell ref="O3:O4"/>
    <mergeCell ref="AH3:AP3"/>
    <mergeCell ref="AQ3:AQ4"/>
  </mergeCells>
  <conditionalFormatting sqref="A5:E363">
    <cfRule type="expression" dxfId="47" priority="5" stopIfTrue="1">
      <formula>LEN(TRIM(A5))=0</formula>
    </cfRule>
  </conditionalFormatting>
  <conditionalFormatting sqref="F5:I363">
    <cfRule type="cellIs" dxfId="46" priority="3157" stopIfTrue="1" operator="equal">
      <formula>"Indicate Date"</formula>
    </cfRule>
  </conditionalFormatting>
  <conditionalFormatting sqref="J5:J363">
    <cfRule type="expression" dxfId="45" priority="3218" stopIfTrue="1">
      <formula>LEN(TRIM(J5))=0</formula>
    </cfRule>
  </conditionalFormatting>
  <conditionalFormatting sqref="K5:K54">
    <cfRule type="cellIs" dxfId="44" priority="3322" stopIfTrue="1" operator="equal">
      <formula>0</formula>
    </cfRule>
  </conditionalFormatting>
  <conditionalFormatting sqref="K92:K106">
    <cfRule type="expression" dxfId="43" priority="3159" stopIfTrue="1">
      <formula>LEN(TRIM(K92))=0</formula>
    </cfRule>
  </conditionalFormatting>
  <conditionalFormatting sqref="K107 K363">
    <cfRule type="cellIs" dxfId="42" priority="3217" stopIfTrue="1" operator="equal">
      <formula>0</formula>
    </cfRule>
  </conditionalFormatting>
  <conditionalFormatting sqref="K175:K240 K241:L241">
    <cfRule type="cellIs" dxfId="41" priority="19872" stopIfTrue="1" operator="equal">
      <formula>0</formula>
    </cfRule>
  </conditionalFormatting>
  <conditionalFormatting sqref="K242:K268">
    <cfRule type="expression" dxfId="40" priority="159" stopIfTrue="1">
      <formula>LEN(TRIM(K242))=0</formula>
    </cfRule>
  </conditionalFormatting>
  <conditionalFormatting sqref="K278:K315">
    <cfRule type="expression" dxfId="39" priority="179" stopIfTrue="1">
      <formula>LEN(TRIM(K278))=0</formula>
    </cfRule>
  </conditionalFormatting>
  <conditionalFormatting sqref="K345:K356">
    <cfRule type="expression" dxfId="38" priority="227" stopIfTrue="1">
      <formula>LEN(TRIM(K345))=0</formula>
    </cfRule>
  </conditionalFormatting>
  <conditionalFormatting sqref="K55:L91">
    <cfRule type="cellIs" dxfId="37" priority="3161" stopIfTrue="1" operator="equal">
      <formula>0</formula>
    </cfRule>
  </conditionalFormatting>
  <conditionalFormatting sqref="K316:M344">
    <cfRule type="expression" dxfId="36" priority="211" stopIfTrue="1">
      <formula>LEN(TRIM(K316))=0</formula>
    </cfRule>
  </conditionalFormatting>
  <conditionalFormatting sqref="K357:M362">
    <cfRule type="expression" dxfId="35" priority="1" stopIfTrue="1">
      <formula>LEN(TRIM(K357))=0</formula>
    </cfRule>
  </conditionalFormatting>
  <conditionalFormatting sqref="L44:L53">
    <cfRule type="expression" dxfId="34" priority="3320" stopIfTrue="1">
      <formula>LEN(TRIM(L44))=0</formula>
    </cfRule>
  </conditionalFormatting>
  <conditionalFormatting sqref="L54">
    <cfRule type="cellIs" dxfId="33" priority="3172" stopIfTrue="1" operator="equal">
      <formula>0</formula>
    </cfRule>
  </conditionalFormatting>
  <conditionalFormatting sqref="L92:L174 K108:K174 K269:M277">
    <cfRule type="expression" dxfId="32" priority="19873" stopIfTrue="1">
      <formula>LEN(TRIM(K92))=0</formula>
    </cfRule>
  </conditionalFormatting>
  <conditionalFormatting sqref="L228:L238">
    <cfRule type="expression" dxfId="31" priority="3072" stopIfTrue="1">
      <formula>LEN(TRIM(L228))=0</formula>
    </cfRule>
  </conditionalFormatting>
  <conditionalFormatting sqref="L239:L240">
    <cfRule type="cellIs" dxfId="30" priority="2901" stopIfTrue="1" operator="equal">
      <formula>0</formula>
    </cfRule>
  </conditionalFormatting>
  <conditionalFormatting sqref="L242:L255">
    <cfRule type="expression" dxfId="29" priority="2544" stopIfTrue="1">
      <formula>LEN(TRIM(L242))=0</formula>
    </cfRule>
  </conditionalFormatting>
  <conditionalFormatting sqref="L257:L263">
    <cfRule type="expression" dxfId="28" priority="2562" stopIfTrue="1">
      <formula>LEN(TRIM(L257))=0</formula>
    </cfRule>
  </conditionalFormatting>
  <conditionalFormatting sqref="L264">
    <cfRule type="cellIs" dxfId="27" priority="2600" stopIfTrue="1" operator="equal">
      <formula>0</formula>
    </cfRule>
  </conditionalFormatting>
  <conditionalFormatting sqref="L265:L268">
    <cfRule type="expression" dxfId="26" priority="2606" stopIfTrue="1">
      <formula>LEN(TRIM(L265))=0</formula>
    </cfRule>
  </conditionalFormatting>
  <conditionalFormatting sqref="L279:L285">
    <cfRule type="expression" dxfId="25" priority="2637" stopIfTrue="1">
      <formula>LEN(TRIM(L279))=0</formula>
    </cfRule>
  </conditionalFormatting>
  <conditionalFormatting sqref="L286">
    <cfRule type="cellIs" dxfId="24" priority="2675" stopIfTrue="1" operator="equal">
      <formula>0</formula>
    </cfRule>
  </conditionalFormatting>
  <conditionalFormatting sqref="L287:L301">
    <cfRule type="expression" dxfId="23" priority="2691" stopIfTrue="1">
      <formula>LEN(TRIM(L287))=0</formula>
    </cfRule>
  </conditionalFormatting>
  <conditionalFormatting sqref="L303:L308">
    <cfRule type="expression" dxfId="22" priority="2712" stopIfTrue="1">
      <formula>LEN(TRIM(L303))=0</formula>
    </cfRule>
  </conditionalFormatting>
  <conditionalFormatting sqref="L309">
    <cfRule type="cellIs" dxfId="21" priority="2750" stopIfTrue="1" operator="equal">
      <formula>0</formula>
    </cfRule>
  </conditionalFormatting>
  <conditionalFormatting sqref="L310:L315">
    <cfRule type="expression" dxfId="20" priority="2756" stopIfTrue="1">
      <formula>LEN(TRIM(L310))=0</formula>
    </cfRule>
  </conditionalFormatting>
  <conditionalFormatting sqref="L346:L350">
    <cfRule type="expression" dxfId="19" priority="2862" stopIfTrue="1">
      <formula>LEN(TRIM(L346))=0</formula>
    </cfRule>
  </conditionalFormatting>
  <conditionalFormatting sqref="L351">
    <cfRule type="cellIs" dxfId="18" priority="2900" stopIfTrue="1" operator="equal">
      <formula>0</formula>
    </cfRule>
  </conditionalFormatting>
  <conditionalFormatting sqref="L352:L356">
    <cfRule type="expression" dxfId="17" priority="3115" stopIfTrue="1">
      <formula>LEN(TRIM(L352))=0</formula>
    </cfRule>
  </conditionalFormatting>
  <conditionalFormatting sqref="L256:M256">
    <cfRule type="expression" dxfId="16" priority="2566" stopIfTrue="1">
      <formula>LEN(TRIM(L256))=0</formula>
    </cfRule>
  </conditionalFormatting>
  <conditionalFormatting sqref="L278:M278">
    <cfRule type="expression" dxfId="15" priority="2641" stopIfTrue="1">
      <formula>LEN(TRIM(L278))=0</formula>
    </cfRule>
  </conditionalFormatting>
  <conditionalFormatting sqref="L302:M302">
    <cfRule type="expression" dxfId="14" priority="2716" stopIfTrue="1">
      <formula>LEN(TRIM(L302))=0</formula>
    </cfRule>
  </conditionalFormatting>
  <conditionalFormatting sqref="L345:M345">
    <cfRule type="expression" dxfId="13" priority="2866" stopIfTrue="1">
      <formula>LEN(TRIM(L345))=0</formula>
    </cfRule>
  </conditionalFormatting>
  <conditionalFormatting sqref="L363:M363">
    <cfRule type="expression" dxfId="12" priority="3211" stopIfTrue="1">
      <formula>LEN(TRIM(L363))=0</formula>
    </cfRule>
  </conditionalFormatting>
  <conditionalFormatting sqref="L17:N43">
    <cfRule type="expression" dxfId="11" priority="3359" stopIfTrue="1">
      <formula>LEN(TRIM(L17))=0</formula>
    </cfRule>
  </conditionalFormatting>
  <conditionalFormatting sqref="L175:N227">
    <cfRule type="expression" dxfId="10" priority="2940" stopIfTrue="1">
      <formula>LEN(TRIM(L175))=0</formula>
    </cfRule>
  </conditionalFormatting>
  <conditionalFormatting sqref="L5:AB16">
    <cfRule type="expression" dxfId="9" priority="19822" stopIfTrue="1">
      <formula>LEN(TRIM(L5))=0</formula>
    </cfRule>
  </conditionalFormatting>
  <conditionalFormatting sqref="M241:M255">
    <cfRule type="expression" dxfId="8" priority="2527" stopIfTrue="1">
      <formula>LEN(TRIM(M241))=0</formula>
    </cfRule>
  </conditionalFormatting>
  <conditionalFormatting sqref="M257:M268">
    <cfRule type="expression" dxfId="7" priority="2558" stopIfTrue="1">
      <formula>LEN(TRIM(M257))=0</formula>
    </cfRule>
  </conditionalFormatting>
  <conditionalFormatting sqref="M279:M301">
    <cfRule type="expression" dxfId="6" priority="2633" stopIfTrue="1">
      <formula>LEN(TRIM(M279))=0</formula>
    </cfRule>
  </conditionalFormatting>
  <conditionalFormatting sqref="M303:M315">
    <cfRule type="expression" dxfId="5" priority="2709" stopIfTrue="1">
      <formula>LEN(TRIM(M303))=0</formula>
    </cfRule>
  </conditionalFormatting>
  <conditionalFormatting sqref="M346:M356">
    <cfRule type="expression" dxfId="4" priority="2858" stopIfTrue="1">
      <formula>LEN(TRIM(M346))=0</formula>
    </cfRule>
  </conditionalFormatting>
  <conditionalFormatting sqref="M44:N174">
    <cfRule type="expression" dxfId="3" priority="3212" stopIfTrue="1">
      <formula>LEN(TRIM(M44))=0</formula>
    </cfRule>
  </conditionalFormatting>
  <conditionalFormatting sqref="M228:N240">
    <cfRule type="expression" dxfId="2" priority="3068" stopIfTrue="1">
      <formula>LEN(TRIM(M228))=0</formula>
    </cfRule>
  </conditionalFormatting>
  <conditionalFormatting sqref="N241:N363">
    <cfRule type="expression" dxfId="1" priority="3122" stopIfTrue="1">
      <formula>LEN(TRIM(N241))=0</formula>
    </cfRule>
  </conditionalFormatting>
  <conditionalFormatting sqref="AD5:AE16 AG5:AO16 AQ5:AQ16">
    <cfRule type="expression" dxfId="0" priority="19834" stopIfTrue="1">
      <formula>LEN(TRIM(AD5))=0</formula>
    </cfRule>
  </conditionalFormatting>
  <pageMargins left="0.1701" right="0.1701" top="1.2957000000000001" bottom="1.2957000000000001" header="0" footer="0"/>
  <pageSetup paperSize="9" pageOrder="overThenDown" orientation="landscape" r:id="rId1"/>
  <extLst>
    <ext xmlns:x14="http://schemas.microsoft.com/office/spreadsheetml/2009/9/main" uri="{CCE6A557-97BC-4b89-ADB6-D9C93CAAB3DF}">
      <x14:dataValidations xmlns:xm="http://schemas.microsoft.com/office/excel/2006/main" count="2">
        <x14:dataValidation type="list" allowBlank="1" showErrorMessage="1" xr:uid="{00000000-0002-0000-0000-000000000000}">
          <x14:formula1>
            <xm:f>data_validation!$B$1:$B$7</xm:f>
          </x14:formula1>
          <xm:sqref>J5:J363</xm:sqref>
        </x14:dataValidation>
        <x14:dataValidation type="list" allowBlank="1" showErrorMessage="1" xr:uid="{00000000-0002-0000-0000-000001000000}">
          <x14:formula1>
            <xm:f>data_validation!$A$1:$A$30</xm:f>
          </x14:formula1>
          <xm:sqref>E5:E363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99"/>
  <sheetViews>
    <sheetView workbookViewId="0"/>
  </sheetViews>
  <sheetFormatPr defaultColWidth="12.59765625" defaultRowHeight="15" customHeight="1" x14ac:dyDescent="0.25"/>
  <cols>
    <col min="1" max="1" width="69.5" customWidth="1"/>
    <col min="2" max="2" width="50" customWidth="1"/>
    <col min="3" max="5" width="8.3984375" customWidth="1"/>
    <col min="6" max="25" width="8.59765625" customWidth="1"/>
  </cols>
  <sheetData>
    <row r="1" spans="1:2" ht="14.25" customHeight="1" x14ac:dyDescent="0.25">
      <c r="A1" s="26" t="s">
        <v>35</v>
      </c>
      <c r="B1" s="27" t="s">
        <v>36</v>
      </c>
    </row>
    <row r="2" spans="1:2" ht="14.25" customHeight="1" x14ac:dyDescent="0.3">
      <c r="A2" s="28" t="s">
        <v>37</v>
      </c>
      <c r="B2" s="27" t="s">
        <v>38</v>
      </c>
    </row>
    <row r="3" spans="1:2" ht="14.25" customHeight="1" x14ac:dyDescent="0.3">
      <c r="A3" s="28" t="s">
        <v>39</v>
      </c>
      <c r="B3" s="27" t="s">
        <v>40</v>
      </c>
    </row>
    <row r="4" spans="1:2" ht="14.25" customHeight="1" x14ac:dyDescent="0.25">
      <c r="A4" s="29" t="s">
        <v>41</v>
      </c>
      <c r="B4" s="27" t="s">
        <v>42</v>
      </c>
    </row>
    <row r="5" spans="1:2" ht="14.25" customHeight="1" x14ac:dyDescent="0.3">
      <c r="A5" s="28" t="s">
        <v>43</v>
      </c>
      <c r="B5" s="27" t="s">
        <v>44</v>
      </c>
    </row>
    <row r="6" spans="1:2" ht="14.25" customHeight="1" x14ac:dyDescent="0.25">
      <c r="A6" s="29" t="s">
        <v>45</v>
      </c>
      <c r="B6" s="27" t="s">
        <v>46</v>
      </c>
    </row>
    <row r="7" spans="1:2" ht="14.25" customHeight="1" x14ac:dyDescent="0.3">
      <c r="A7" s="28" t="s">
        <v>47</v>
      </c>
      <c r="B7" s="27" t="s">
        <v>48</v>
      </c>
    </row>
    <row r="8" spans="1:2" ht="14.25" customHeight="1" x14ac:dyDescent="0.25">
      <c r="A8" s="26" t="s">
        <v>49</v>
      </c>
    </row>
    <row r="9" spans="1:2" ht="14.25" customHeight="1" x14ac:dyDescent="0.25">
      <c r="A9" s="26" t="s">
        <v>50</v>
      </c>
    </row>
    <row r="10" spans="1:2" ht="14.25" customHeight="1" x14ac:dyDescent="0.25">
      <c r="A10" s="26" t="s">
        <v>51</v>
      </c>
    </row>
    <row r="11" spans="1:2" ht="14.25" customHeight="1" x14ac:dyDescent="0.25">
      <c r="A11" s="29" t="s">
        <v>52</v>
      </c>
    </row>
    <row r="12" spans="1:2" ht="14.25" customHeight="1" x14ac:dyDescent="0.25">
      <c r="A12" s="29" t="s">
        <v>53</v>
      </c>
    </row>
    <row r="13" spans="1:2" ht="14.25" customHeight="1" x14ac:dyDescent="0.25">
      <c r="A13" s="29" t="s">
        <v>54</v>
      </c>
    </row>
    <row r="14" spans="1:2" ht="14.25" customHeight="1" x14ac:dyDescent="0.25">
      <c r="A14" s="29" t="s">
        <v>55</v>
      </c>
    </row>
    <row r="15" spans="1:2" ht="14.25" customHeight="1" x14ac:dyDescent="0.25">
      <c r="A15" s="29" t="s">
        <v>56</v>
      </c>
    </row>
    <row r="16" spans="1:2" ht="14.25" customHeight="1" x14ac:dyDescent="0.25">
      <c r="A16" s="29" t="s">
        <v>57</v>
      </c>
    </row>
    <row r="17" spans="1:2" ht="14.25" customHeight="1" x14ac:dyDescent="0.25">
      <c r="A17" s="29" t="s">
        <v>58</v>
      </c>
    </row>
    <row r="18" spans="1:2" ht="14.25" customHeight="1" x14ac:dyDescent="0.25">
      <c r="A18" s="29" t="s">
        <v>59</v>
      </c>
    </row>
    <row r="19" spans="1:2" ht="14.25" customHeight="1" x14ac:dyDescent="0.25">
      <c r="A19" s="29" t="s">
        <v>60</v>
      </c>
    </row>
    <row r="20" spans="1:2" ht="14.25" customHeight="1" x14ac:dyDescent="0.25">
      <c r="A20" s="29" t="s">
        <v>61</v>
      </c>
      <c r="B20" s="27"/>
    </row>
    <row r="21" spans="1:2" ht="14.25" customHeight="1" x14ac:dyDescent="0.25">
      <c r="A21" s="29" t="s">
        <v>62</v>
      </c>
      <c r="B21" s="27"/>
    </row>
    <row r="22" spans="1:2" ht="14.25" customHeight="1" x14ac:dyDescent="0.25">
      <c r="A22" s="30" t="s">
        <v>63</v>
      </c>
    </row>
    <row r="23" spans="1:2" ht="14.25" customHeight="1" x14ac:dyDescent="0.25">
      <c r="A23" s="31" t="s">
        <v>64</v>
      </c>
    </row>
    <row r="24" spans="1:2" ht="14.25" customHeight="1" x14ac:dyDescent="0.3">
      <c r="A24" s="32" t="s">
        <v>65</v>
      </c>
    </row>
    <row r="25" spans="1:2" ht="14.25" customHeight="1" x14ac:dyDescent="0.25">
      <c r="A25" s="31" t="s">
        <v>66</v>
      </c>
    </row>
    <row r="26" spans="1:2" ht="14.25" customHeight="1" x14ac:dyDescent="0.25">
      <c r="A26" s="31" t="s">
        <v>67</v>
      </c>
    </row>
    <row r="27" spans="1:2" ht="14.25" customHeight="1" x14ac:dyDescent="0.25">
      <c r="A27" s="33" t="s">
        <v>68</v>
      </c>
    </row>
    <row r="28" spans="1:2" ht="14.25" customHeight="1" x14ac:dyDescent="0.25">
      <c r="A28" s="31" t="s">
        <v>69</v>
      </c>
    </row>
    <row r="29" spans="1:2" ht="14.25" customHeight="1" x14ac:dyDescent="0.25">
      <c r="A29" s="31" t="s">
        <v>70</v>
      </c>
    </row>
    <row r="30" spans="1:2" ht="14.25" customHeight="1" x14ac:dyDescent="0.3">
      <c r="A30" s="28" t="s">
        <v>71</v>
      </c>
    </row>
    <row r="31" spans="1:2" ht="14.25" customHeight="1" x14ac:dyDescent="0.25"/>
    <row r="32" spans="1:2" ht="14.25" customHeight="1" x14ac:dyDescent="0.3">
      <c r="A32" s="34"/>
    </row>
    <row r="33" spans="1:1" ht="14.25" customHeight="1" x14ac:dyDescent="0.3">
      <c r="A33" s="34"/>
    </row>
    <row r="34" spans="1:1" ht="14.25" customHeight="1" x14ac:dyDescent="0.3">
      <c r="A34" s="34"/>
    </row>
    <row r="35" spans="1:1" ht="14.25" customHeight="1" x14ac:dyDescent="0.3">
      <c r="A35" s="34"/>
    </row>
    <row r="36" spans="1:1" ht="14.25" customHeight="1" x14ac:dyDescent="0.3">
      <c r="A36" s="34"/>
    </row>
    <row r="37" spans="1:1" ht="14.25" customHeight="1" x14ac:dyDescent="0.3">
      <c r="A37" s="34"/>
    </row>
    <row r="38" spans="1:1" ht="14.25" customHeight="1" x14ac:dyDescent="0.3">
      <c r="A38" s="34"/>
    </row>
    <row r="39" spans="1:1" ht="14.25" customHeight="1" x14ac:dyDescent="0.3">
      <c r="A39" s="34"/>
    </row>
    <row r="40" spans="1:1" ht="14.25" customHeight="1" x14ac:dyDescent="0.3">
      <c r="A40" s="34"/>
    </row>
    <row r="41" spans="1:1" ht="14.25" customHeight="1" x14ac:dyDescent="0.3">
      <c r="A41" s="34"/>
    </row>
    <row r="42" spans="1:1" ht="14.25" customHeight="1" x14ac:dyDescent="0.3">
      <c r="A42" s="34"/>
    </row>
    <row r="43" spans="1:1" ht="14.25" customHeight="1" x14ac:dyDescent="0.3">
      <c r="A43" s="34"/>
    </row>
    <row r="44" spans="1:1" ht="14.25" customHeight="1" x14ac:dyDescent="0.3">
      <c r="A44" s="34"/>
    </row>
    <row r="45" spans="1:1" ht="14.25" customHeight="1" x14ac:dyDescent="0.3">
      <c r="A45" s="34"/>
    </row>
    <row r="46" spans="1:1" ht="14.25" customHeight="1" x14ac:dyDescent="0.3">
      <c r="A46" s="34"/>
    </row>
    <row r="47" spans="1:1" ht="14.25" customHeight="1" x14ac:dyDescent="0.3">
      <c r="A47" s="34"/>
    </row>
    <row r="48" spans="1:1" ht="14.25" customHeight="1" x14ac:dyDescent="0.3">
      <c r="A48" s="34"/>
    </row>
    <row r="49" spans="1:1" ht="14.25" customHeight="1" x14ac:dyDescent="0.3">
      <c r="A49" s="34"/>
    </row>
    <row r="50" spans="1:1" ht="14.25" customHeight="1" x14ac:dyDescent="0.3">
      <c r="A50" s="34"/>
    </row>
    <row r="51" spans="1:1" ht="14.25" customHeight="1" x14ac:dyDescent="0.3">
      <c r="A51" s="34"/>
    </row>
    <row r="52" spans="1:1" ht="14.25" customHeight="1" x14ac:dyDescent="0.3">
      <c r="A52" s="34"/>
    </row>
    <row r="53" spans="1:1" ht="14.25" customHeight="1" x14ac:dyDescent="0.3">
      <c r="A53" s="34"/>
    </row>
    <row r="54" spans="1:1" ht="14.25" customHeight="1" x14ac:dyDescent="0.3">
      <c r="A54" s="34"/>
    </row>
    <row r="55" spans="1:1" ht="14.25" customHeight="1" x14ac:dyDescent="0.3">
      <c r="A55" s="34"/>
    </row>
    <row r="56" spans="1:1" ht="14.25" customHeight="1" x14ac:dyDescent="0.3">
      <c r="A56" s="34"/>
    </row>
    <row r="57" spans="1:1" ht="14.25" customHeight="1" x14ac:dyDescent="0.3">
      <c r="A57" s="34"/>
    </row>
    <row r="58" spans="1:1" ht="14.25" customHeight="1" x14ac:dyDescent="0.3">
      <c r="A58" s="34"/>
    </row>
    <row r="59" spans="1:1" ht="14.25" customHeight="1" x14ac:dyDescent="0.3">
      <c r="A59" s="34"/>
    </row>
    <row r="60" spans="1:1" ht="14.25" customHeight="1" x14ac:dyDescent="0.3">
      <c r="A60" s="34"/>
    </row>
    <row r="61" spans="1:1" ht="14.25" customHeight="1" x14ac:dyDescent="0.3">
      <c r="A61" s="34"/>
    </row>
    <row r="62" spans="1:1" ht="14.25" customHeight="1" x14ac:dyDescent="0.3">
      <c r="A62" s="34"/>
    </row>
    <row r="63" spans="1:1" ht="14.25" customHeight="1" x14ac:dyDescent="0.3">
      <c r="A63" s="34"/>
    </row>
    <row r="64" spans="1:1" ht="14.25" customHeight="1" x14ac:dyDescent="0.3">
      <c r="A64" s="34"/>
    </row>
    <row r="65" spans="1:1" ht="14.25" customHeight="1" x14ac:dyDescent="0.3">
      <c r="A65" s="34"/>
    </row>
    <row r="66" spans="1:1" ht="14.25" customHeight="1" x14ac:dyDescent="0.3">
      <c r="A66" s="34"/>
    </row>
    <row r="67" spans="1:1" ht="14.25" customHeight="1" x14ac:dyDescent="0.3">
      <c r="A67" s="34"/>
    </row>
    <row r="68" spans="1:1" ht="14.25" customHeight="1" x14ac:dyDescent="0.3">
      <c r="A68" s="34"/>
    </row>
    <row r="69" spans="1:1" ht="14.25" customHeight="1" x14ac:dyDescent="0.3">
      <c r="A69" s="34"/>
    </row>
    <row r="70" spans="1:1" ht="14.25" customHeight="1" x14ac:dyDescent="0.3">
      <c r="A70" s="34"/>
    </row>
    <row r="71" spans="1:1" ht="14.25" customHeight="1" x14ac:dyDescent="0.3">
      <c r="A71" s="34"/>
    </row>
    <row r="72" spans="1:1" ht="14.25" customHeight="1" x14ac:dyDescent="0.3">
      <c r="A72" s="34"/>
    </row>
    <row r="73" spans="1:1" ht="14.25" customHeight="1" x14ac:dyDescent="0.3">
      <c r="A73" s="34"/>
    </row>
    <row r="74" spans="1:1" ht="14.25" customHeight="1" x14ac:dyDescent="0.3">
      <c r="A74" s="34"/>
    </row>
    <row r="75" spans="1:1" ht="14.25" customHeight="1" x14ac:dyDescent="0.3">
      <c r="A75" s="34"/>
    </row>
    <row r="76" spans="1:1" ht="14.25" customHeight="1" x14ac:dyDescent="0.3">
      <c r="A76" s="34"/>
    </row>
    <row r="77" spans="1:1" ht="14.25" customHeight="1" x14ac:dyDescent="0.3">
      <c r="A77" s="34"/>
    </row>
    <row r="78" spans="1:1" ht="14.25" customHeight="1" x14ac:dyDescent="0.3">
      <c r="A78" s="34"/>
    </row>
    <row r="79" spans="1:1" ht="14.25" customHeight="1" x14ac:dyDescent="0.3">
      <c r="A79" s="34"/>
    </row>
    <row r="80" spans="1:1" ht="14.25" customHeight="1" x14ac:dyDescent="0.3">
      <c r="A80" s="34"/>
    </row>
    <row r="81" spans="1:1" ht="14.25" customHeight="1" x14ac:dyDescent="0.3">
      <c r="A81" s="34"/>
    </row>
    <row r="82" spans="1:1" ht="14.25" customHeight="1" x14ac:dyDescent="0.3">
      <c r="A82" s="34"/>
    </row>
    <row r="83" spans="1:1" ht="14.25" customHeight="1" x14ac:dyDescent="0.3">
      <c r="A83" s="34"/>
    </row>
    <row r="84" spans="1:1" ht="14.25" customHeight="1" x14ac:dyDescent="0.3">
      <c r="A84" s="34"/>
    </row>
    <row r="85" spans="1:1" ht="14.25" customHeight="1" x14ac:dyDescent="0.3">
      <c r="A85" s="34"/>
    </row>
    <row r="86" spans="1:1" ht="14.25" customHeight="1" x14ac:dyDescent="0.3">
      <c r="A86" s="34"/>
    </row>
    <row r="87" spans="1:1" ht="14.25" customHeight="1" x14ac:dyDescent="0.3">
      <c r="A87" s="34"/>
    </row>
    <row r="88" spans="1:1" ht="14.25" customHeight="1" x14ac:dyDescent="0.3">
      <c r="A88" s="34"/>
    </row>
    <row r="89" spans="1:1" ht="14.25" customHeight="1" x14ac:dyDescent="0.3">
      <c r="A89" s="34"/>
    </row>
    <row r="90" spans="1:1" ht="14.25" customHeight="1" x14ac:dyDescent="0.3">
      <c r="A90" s="34"/>
    </row>
    <row r="91" spans="1:1" ht="14.25" customHeight="1" x14ac:dyDescent="0.3">
      <c r="A91" s="34"/>
    </row>
    <row r="92" spans="1:1" ht="14.25" customHeight="1" x14ac:dyDescent="0.3">
      <c r="A92" s="34"/>
    </row>
    <row r="93" spans="1:1" ht="14.25" customHeight="1" x14ac:dyDescent="0.3">
      <c r="A93" s="34"/>
    </row>
    <row r="94" spans="1:1" ht="14.25" customHeight="1" x14ac:dyDescent="0.3">
      <c r="A94" s="34"/>
    </row>
    <row r="95" spans="1:1" ht="14.25" customHeight="1" x14ac:dyDescent="0.3">
      <c r="A95" s="34"/>
    </row>
    <row r="96" spans="1:1" ht="14.25" customHeight="1" x14ac:dyDescent="0.3">
      <c r="A96" s="34"/>
    </row>
    <row r="97" spans="1:1" ht="14.25" customHeight="1" x14ac:dyDescent="0.3">
      <c r="A97" s="34"/>
    </row>
    <row r="98" spans="1:1" ht="14.25" customHeight="1" x14ac:dyDescent="0.3">
      <c r="A98" s="34"/>
    </row>
    <row r="99" spans="1:1" ht="14.25" customHeight="1" x14ac:dyDescent="0.3">
      <c r="A99" s="34"/>
    </row>
    <row r="100" spans="1:1" ht="14.25" customHeight="1" x14ac:dyDescent="0.3">
      <c r="A100" s="34"/>
    </row>
    <row r="101" spans="1:1" ht="14.25" customHeight="1" x14ac:dyDescent="0.3">
      <c r="A101" s="34"/>
    </row>
    <row r="102" spans="1:1" ht="14.25" customHeight="1" x14ac:dyDescent="0.3">
      <c r="A102" s="34"/>
    </row>
    <row r="103" spans="1:1" ht="14.25" customHeight="1" x14ac:dyDescent="0.3">
      <c r="A103" s="34"/>
    </row>
    <row r="104" spans="1:1" ht="14.25" customHeight="1" x14ac:dyDescent="0.3">
      <c r="A104" s="34"/>
    </row>
    <row r="105" spans="1:1" ht="14.25" customHeight="1" x14ac:dyDescent="0.3">
      <c r="A105" s="34"/>
    </row>
    <row r="106" spans="1:1" ht="14.25" customHeight="1" x14ac:dyDescent="0.3">
      <c r="A106" s="34"/>
    </row>
    <row r="107" spans="1:1" ht="14.25" customHeight="1" x14ac:dyDescent="0.3">
      <c r="A107" s="34"/>
    </row>
    <row r="108" spans="1:1" ht="14.25" customHeight="1" x14ac:dyDescent="0.3">
      <c r="A108" s="34"/>
    </row>
    <row r="109" spans="1:1" ht="14.25" customHeight="1" x14ac:dyDescent="0.3">
      <c r="A109" s="34"/>
    </row>
    <row r="110" spans="1:1" ht="14.25" customHeight="1" x14ac:dyDescent="0.3">
      <c r="A110" s="34"/>
    </row>
    <row r="111" spans="1:1" ht="14.25" customHeight="1" x14ac:dyDescent="0.3">
      <c r="A111" s="34"/>
    </row>
    <row r="112" spans="1:1" ht="14.25" customHeight="1" x14ac:dyDescent="0.3">
      <c r="A112" s="34"/>
    </row>
    <row r="113" spans="1:1" ht="14.25" customHeight="1" x14ac:dyDescent="0.3">
      <c r="A113" s="34"/>
    </row>
    <row r="114" spans="1:1" ht="14.25" customHeight="1" x14ac:dyDescent="0.3">
      <c r="A114" s="34"/>
    </row>
    <row r="115" spans="1:1" ht="14.25" customHeight="1" x14ac:dyDescent="0.3">
      <c r="A115" s="34"/>
    </row>
    <row r="116" spans="1:1" ht="14.25" customHeight="1" x14ac:dyDescent="0.3">
      <c r="A116" s="34"/>
    </row>
    <row r="117" spans="1:1" ht="14.25" customHeight="1" x14ac:dyDescent="0.3">
      <c r="A117" s="34"/>
    </row>
    <row r="118" spans="1:1" ht="14.25" customHeight="1" x14ac:dyDescent="0.3">
      <c r="A118" s="34"/>
    </row>
    <row r="119" spans="1:1" ht="14.25" customHeight="1" x14ac:dyDescent="0.3">
      <c r="A119" s="34"/>
    </row>
    <row r="120" spans="1:1" ht="14.25" customHeight="1" x14ac:dyDescent="0.3">
      <c r="A120" s="34"/>
    </row>
    <row r="121" spans="1:1" ht="14.25" customHeight="1" x14ac:dyDescent="0.3">
      <c r="A121" s="34"/>
    </row>
    <row r="122" spans="1:1" ht="14.25" customHeight="1" x14ac:dyDescent="0.3">
      <c r="A122" s="34"/>
    </row>
    <row r="123" spans="1:1" ht="14.25" customHeight="1" x14ac:dyDescent="0.3">
      <c r="A123" s="34"/>
    </row>
    <row r="124" spans="1:1" ht="14.25" customHeight="1" x14ac:dyDescent="0.3">
      <c r="A124" s="34"/>
    </row>
    <row r="125" spans="1:1" ht="14.25" customHeight="1" x14ac:dyDescent="0.3">
      <c r="A125" s="34"/>
    </row>
    <row r="126" spans="1:1" ht="14.25" customHeight="1" x14ac:dyDescent="0.3">
      <c r="A126" s="34"/>
    </row>
    <row r="127" spans="1:1" ht="14.25" customHeight="1" x14ac:dyDescent="0.3">
      <c r="A127" s="34"/>
    </row>
    <row r="128" spans="1:1" ht="14.25" customHeight="1" x14ac:dyDescent="0.3">
      <c r="A128" s="34"/>
    </row>
    <row r="129" spans="1:1" ht="14.25" customHeight="1" x14ac:dyDescent="0.3">
      <c r="A129" s="34"/>
    </row>
    <row r="130" spans="1:1" ht="14.25" customHeight="1" x14ac:dyDescent="0.3">
      <c r="A130" s="34"/>
    </row>
    <row r="131" spans="1:1" ht="14.25" customHeight="1" x14ac:dyDescent="0.3">
      <c r="A131" s="34"/>
    </row>
    <row r="132" spans="1:1" ht="14.25" customHeight="1" x14ac:dyDescent="0.3">
      <c r="A132" s="34"/>
    </row>
    <row r="133" spans="1:1" ht="14.25" customHeight="1" x14ac:dyDescent="0.3">
      <c r="A133" s="34"/>
    </row>
    <row r="134" spans="1:1" ht="14.25" customHeight="1" x14ac:dyDescent="0.3">
      <c r="A134" s="34"/>
    </row>
    <row r="135" spans="1:1" ht="14.25" customHeight="1" x14ac:dyDescent="0.3">
      <c r="A135" s="34"/>
    </row>
    <row r="136" spans="1:1" ht="14.25" customHeight="1" x14ac:dyDescent="0.3">
      <c r="A136" s="34"/>
    </row>
    <row r="137" spans="1:1" ht="14.25" customHeight="1" x14ac:dyDescent="0.3">
      <c r="A137" s="34"/>
    </row>
    <row r="138" spans="1:1" ht="14.25" customHeight="1" x14ac:dyDescent="0.3">
      <c r="A138" s="34"/>
    </row>
    <row r="139" spans="1:1" ht="14.25" customHeight="1" x14ac:dyDescent="0.3">
      <c r="A139" s="34"/>
    </row>
    <row r="140" spans="1:1" ht="14.25" customHeight="1" x14ac:dyDescent="0.3">
      <c r="A140" s="34"/>
    </row>
    <row r="141" spans="1:1" ht="14.25" customHeight="1" x14ac:dyDescent="0.3">
      <c r="A141" s="34"/>
    </row>
    <row r="142" spans="1:1" ht="14.25" customHeight="1" x14ac:dyDescent="0.3">
      <c r="A142" s="34"/>
    </row>
    <row r="143" spans="1:1" ht="14.25" customHeight="1" x14ac:dyDescent="0.3">
      <c r="A143" s="34"/>
    </row>
    <row r="144" spans="1:1" ht="14.25" customHeight="1" x14ac:dyDescent="0.3">
      <c r="A144" s="34"/>
    </row>
    <row r="145" spans="1:1" ht="14.25" customHeight="1" x14ac:dyDescent="0.3">
      <c r="A145" s="34"/>
    </row>
    <row r="146" spans="1:1" ht="14.25" customHeight="1" x14ac:dyDescent="0.3">
      <c r="A146" s="34"/>
    </row>
    <row r="147" spans="1:1" ht="14.25" customHeight="1" x14ac:dyDescent="0.3">
      <c r="A147" s="34"/>
    </row>
    <row r="148" spans="1:1" ht="14.25" customHeight="1" x14ac:dyDescent="0.3">
      <c r="A148" s="34"/>
    </row>
    <row r="149" spans="1:1" ht="14.25" customHeight="1" x14ac:dyDescent="0.3">
      <c r="A149" s="34"/>
    </row>
    <row r="150" spans="1:1" ht="14.25" customHeight="1" x14ac:dyDescent="0.3">
      <c r="A150" s="34"/>
    </row>
    <row r="151" spans="1:1" ht="14.25" customHeight="1" x14ac:dyDescent="0.3">
      <c r="A151" s="34"/>
    </row>
    <row r="152" spans="1:1" ht="14.25" customHeight="1" x14ac:dyDescent="0.3">
      <c r="A152" s="34"/>
    </row>
    <row r="153" spans="1:1" ht="14.25" customHeight="1" x14ac:dyDescent="0.3">
      <c r="A153" s="34"/>
    </row>
    <row r="154" spans="1:1" ht="14.25" customHeight="1" x14ac:dyDescent="0.3">
      <c r="A154" s="34"/>
    </row>
    <row r="155" spans="1:1" ht="14.25" customHeight="1" x14ac:dyDescent="0.3">
      <c r="A155" s="34"/>
    </row>
    <row r="156" spans="1:1" ht="14.25" customHeight="1" x14ac:dyDescent="0.3">
      <c r="A156" s="34"/>
    </row>
    <row r="157" spans="1:1" ht="14.25" customHeight="1" x14ac:dyDescent="0.3">
      <c r="A157" s="34"/>
    </row>
    <row r="158" spans="1:1" ht="14.25" customHeight="1" x14ac:dyDescent="0.3">
      <c r="A158" s="34"/>
    </row>
    <row r="159" spans="1:1" ht="14.25" customHeight="1" x14ac:dyDescent="0.3">
      <c r="A159" s="34"/>
    </row>
    <row r="160" spans="1:1" ht="14.25" customHeight="1" x14ac:dyDescent="0.3">
      <c r="A160" s="34"/>
    </row>
    <row r="161" spans="1:1" ht="14.25" customHeight="1" x14ac:dyDescent="0.3">
      <c r="A161" s="34"/>
    </row>
    <row r="162" spans="1:1" ht="14.25" customHeight="1" x14ac:dyDescent="0.3">
      <c r="A162" s="34"/>
    </row>
    <row r="163" spans="1:1" ht="14.25" customHeight="1" x14ac:dyDescent="0.3">
      <c r="A163" s="34"/>
    </row>
    <row r="164" spans="1:1" ht="14.25" customHeight="1" x14ac:dyDescent="0.3">
      <c r="A164" s="34"/>
    </row>
    <row r="165" spans="1:1" ht="14.25" customHeight="1" x14ac:dyDescent="0.3">
      <c r="A165" s="34"/>
    </row>
    <row r="166" spans="1:1" ht="14.25" customHeight="1" x14ac:dyDescent="0.3">
      <c r="A166" s="34"/>
    </row>
    <row r="167" spans="1:1" ht="14.25" customHeight="1" x14ac:dyDescent="0.3">
      <c r="A167" s="34"/>
    </row>
    <row r="168" spans="1:1" ht="14.25" customHeight="1" x14ac:dyDescent="0.3">
      <c r="A168" s="34"/>
    </row>
    <row r="169" spans="1:1" ht="14.25" customHeight="1" x14ac:dyDescent="0.3">
      <c r="A169" s="34"/>
    </row>
    <row r="170" spans="1:1" ht="14.25" customHeight="1" x14ac:dyDescent="0.3">
      <c r="A170" s="34"/>
    </row>
    <row r="171" spans="1:1" ht="14.25" customHeight="1" x14ac:dyDescent="0.3">
      <c r="A171" s="34"/>
    </row>
    <row r="172" spans="1:1" ht="14.25" customHeight="1" x14ac:dyDescent="0.3">
      <c r="A172" s="34"/>
    </row>
    <row r="173" spans="1:1" ht="14.25" customHeight="1" x14ac:dyDescent="0.3">
      <c r="A173" s="34"/>
    </row>
    <row r="174" spans="1:1" ht="14.25" customHeight="1" x14ac:dyDescent="0.3">
      <c r="A174" s="34"/>
    </row>
    <row r="175" spans="1:1" ht="14.25" customHeight="1" x14ac:dyDescent="0.3">
      <c r="A175" s="34"/>
    </row>
    <row r="176" spans="1:1" ht="14.25" customHeight="1" x14ac:dyDescent="0.3">
      <c r="A176" s="34"/>
    </row>
    <row r="177" spans="1:1" ht="14.25" customHeight="1" x14ac:dyDescent="0.3">
      <c r="A177" s="34"/>
    </row>
    <row r="178" spans="1:1" ht="14.25" customHeight="1" x14ac:dyDescent="0.3">
      <c r="A178" s="34"/>
    </row>
    <row r="179" spans="1:1" ht="14.25" customHeight="1" x14ac:dyDescent="0.3">
      <c r="A179" s="34"/>
    </row>
    <row r="180" spans="1:1" ht="14.25" customHeight="1" x14ac:dyDescent="0.3">
      <c r="A180" s="34"/>
    </row>
    <row r="181" spans="1:1" ht="14.25" customHeight="1" x14ac:dyDescent="0.3">
      <c r="A181" s="34"/>
    </row>
    <row r="182" spans="1:1" ht="14.25" customHeight="1" x14ac:dyDescent="0.3">
      <c r="A182" s="34"/>
    </row>
    <row r="183" spans="1:1" ht="14.25" customHeight="1" x14ac:dyDescent="0.3">
      <c r="A183" s="34"/>
    </row>
    <row r="184" spans="1:1" ht="14.25" customHeight="1" x14ac:dyDescent="0.3">
      <c r="A184" s="34"/>
    </row>
    <row r="185" spans="1:1" ht="14.25" customHeight="1" x14ac:dyDescent="0.3">
      <c r="A185" s="34"/>
    </row>
    <row r="186" spans="1:1" ht="14.25" customHeight="1" x14ac:dyDescent="0.3">
      <c r="A186" s="34"/>
    </row>
    <row r="187" spans="1:1" ht="14.25" customHeight="1" x14ac:dyDescent="0.3">
      <c r="A187" s="34"/>
    </row>
    <row r="188" spans="1:1" ht="14.25" customHeight="1" x14ac:dyDescent="0.3">
      <c r="A188" s="34"/>
    </row>
    <row r="189" spans="1:1" ht="14.25" customHeight="1" x14ac:dyDescent="0.3">
      <c r="A189" s="34"/>
    </row>
    <row r="190" spans="1:1" ht="14.25" customHeight="1" x14ac:dyDescent="0.3">
      <c r="A190" s="34"/>
    </row>
    <row r="191" spans="1:1" ht="14.25" customHeight="1" x14ac:dyDescent="0.3">
      <c r="A191" s="34"/>
    </row>
    <row r="192" spans="1:1" ht="14.25" customHeight="1" x14ac:dyDescent="0.3">
      <c r="A192" s="34"/>
    </row>
    <row r="193" spans="1:1" ht="14.25" customHeight="1" x14ac:dyDescent="0.3">
      <c r="A193" s="34"/>
    </row>
    <row r="194" spans="1:1" ht="14.25" customHeight="1" x14ac:dyDescent="0.3">
      <c r="A194" s="34"/>
    </row>
    <row r="195" spans="1:1" ht="14.25" customHeight="1" x14ac:dyDescent="0.3">
      <c r="A195" s="34"/>
    </row>
    <row r="196" spans="1:1" ht="14.25" customHeight="1" x14ac:dyDescent="0.3">
      <c r="A196" s="34"/>
    </row>
    <row r="197" spans="1:1" ht="14.25" customHeight="1" x14ac:dyDescent="0.3">
      <c r="A197" s="34"/>
    </row>
    <row r="198" spans="1:1" ht="14.25" customHeight="1" x14ac:dyDescent="0.3">
      <c r="A198" s="34"/>
    </row>
    <row r="199" spans="1:1" ht="14.25" customHeight="1" x14ac:dyDescent="0.3">
      <c r="A199" s="34"/>
    </row>
    <row r="200" spans="1:1" ht="14.25" customHeight="1" x14ac:dyDescent="0.3">
      <c r="A200" s="34"/>
    </row>
    <row r="201" spans="1:1" ht="14.25" customHeight="1" x14ac:dyDescent="0.3">
      <c r="A201" s="34"/>
    </row>
    <row r="202" spans="1:1" ht="14.25" customHeight="1" x14ac:dyDescent="0.3">
      <c r="A202" s="34"/>
    </row>
    <row r="203" spans="1:1" ht="14.25" customHeight="1" x14ac:dyDescent="0.3">
      <c r="A203" s="34"/>
    </row>
    <row r="204" spans="1:1" ht="14.25" customHeight="1" x14ac:dyDescent="0.3">
      <c r="A204" s="34"/>
    </row>
    <row r="205" spans="1:1" ht="14.25" customHeight="1" x14ac:dyDescent="0.3">
      <c r="A205" s="34"/>
    </row>
    <row r="206" spans="1:1" ht="14.25" customHeight="1" x14ac:dyDescent="0.3">
      <c r="A206" s="34"/>
    </row>
    <row r="207" spans="1:1" ht="14.25" customHeight="1" x14ac:dyDescent="0.3">
      <c r="A207" s="34"/>
    </row>
    <row r="208" spans="1:1" ht="14.25" customHeight="1" x14ac:dyDescent="0.3">
      <c r="A208" s="34"/>
    </row>
    <row r="209" spans="1:1" ht="14.25" customHeight="1" x14ac:dyDescent="0.3">
      <c r="A209" s="34"/>
    </row>
    <row r="210" spans="1:1" ht="14.25" customHeight="1" x14ac:dyDescent="0.3">
      <c r="A210" s="34"/>
    </row>
    <row r="211" spans="1:1" ht="14.25" customHeight="1" x14ac:dyDescent="0.3">
      <c r="A211" s="34"/>
    </row>
    <row r="212" spans="1:1" ht="14.25" customHeight="1" x14ac:dyDescent="0.3">
      <c r="A212" s="34"/>
    </row>
    <row r="213" spans="1:1" ht="14.25" customHeight="1" x14ac:dyDescent="0.3">
      <c r="A213" s="34"/>
    </row>
    <row r="214" spans="1:1" ht="14.25" customHeight="1" x14ac:dyDescent="0.3">
      <c r="A214" s="34"/>
    </row>
    <row r="215" spans="1:1" ht="14.25" customHeight="1" x14ac:dyDescent="0.3">
      <c r="A215" s="34"/>
    </row>
    <row r="216" spans="1:1" ht="14.25" customHeight="1" x14ac:dyDescent="0.3">
      <c r="A216" s="34"/>
    </row>
    <row r="217" spans="1:1" ht="14.25" customHeight="1" x14ac:dyDescent="0.3">
      <c r="A217" s="34"/>
    </row>
    <row r="218" spans="1:1" ht="14.25" customHeight="1" x14ac:dyDescent="0.3">
      <c r="A218" s="34"/>
    </row>
    <row r="219" spans="1:1" ht="14.25" customHeight="1" x14ac:dyDescent="0.3">
      <c r="A219" s="34"/>
    </row>
    <row r="220" spans="1:1" ht="14.25" customHeight="1" x14ac:dyDescent="0.3">
      <c r="A220" s="34"/>
    </row>
    <row r="221" spans="1:1" ht="14.25" customHeight="1" x14ac:dyDescent="0.3">
      <c r="A221" s="34"/>
    </row>
    <row r="222" spans="1:1" ht="14.25" customHeight="1" x14ac:dyDescent="0.3">
      <c r="A222" s="34"/>
    </row>
    <row r="223" spans="1:1" ht="14.25" customHeight="1" x14ac:dyDescent="0.3">
      <c r="A223" s="34"/>
    </row>
    <row r="224" spans="1:1" ht="14.25" customHeight="1" x14ac:dyDescent="0.3">
      <c r="A224" s="34"/>
    </row>
    <row r="225" spans="1:1" ht="14.25" customHeight="1" x14ac:dyDescent="0.3">
      <c r="A225" s="34"/>
    </row>
    <row r="226" spans="1:1" ht="14.25" customHeight="1" x14ac:dyDescent="0.3">
      <c r="A226" s="34"/>
    </row>
    <row r="227" spans="1:1" ht="14.25" customHeight="1" x14ac:dyDescent="0.3">
      <c r="A227" s="34"/>
    </row>
    <row r="228" spans="1:1" ht="14.25" customHeight="1" x14ac:dyDescent="0.3">
      <c r="A228" s="34"/>
    </row>
    <row r="229" spans="1:1" ht="14.25" customHeight="1" x14ac:dyDescent="0.3">
      <c r="A229" s="34"/>
    </row>
    <row r="230" spans="1:1" ht="14.25" customHeight="1" x14ac:dyDescent="0.3">
      <c r="A230" s="34"/>
    </row>
    <row r="231" spans="1:1" ht="14.25" customHeight="1" x14ac:dyDescent="0.3">
      <c r="A231" s="34"/>
    </row>
    <row r="232" spans="1:1" ht="14.25" customHeight="1" x14ac:dyDescent="0.3">
      <c r="A232" s="34"/>
    </row>
    <row r="233" spans="1:1" ht="14.25" customHeight="1" x14ac:dyDescent="0.3">
      <c r="A233" s="34"/>
    </row>
    <row r="234" spans="1:1" ht="14.25" customHeight="1" x14ac:dyDescent="0.3">
      <c r="A234" s="34"/>
    </row>
    <row r="235" spans="1:1" ht="14.25" customHeight="1" x14ac:dyDescent="0.3">
      <c r="A235" s="34"/>
    </row>
    <row r="236" spans="1:1" ht="14.25" customHeight="1" x14ac:dyDescent="0.3">
      <c r="A236" s="34"/>
    </row>
    <row r="237" spans="1:1" ht="14.25" customHeight="1" x14ac:dyDescent="0.3">
      <c r="A237" s="34"/>
    </row>
    <row r="238" spans="1:1" ht="14.25" customHeight="1" x14ac:dyDescent="0.3">
      <c r="A238" s="34"/>
    </row>
    <row r="239" spans="1:1" ht="14.25" customHeight="1" x14ac:dyDescent="0.3">
      <c r="A239" s="34"/>
    </row>
    <row r="240" spans="1:1" ht="14.25" customHeight="1" x14ac:dyDescent="0.3">
      <c r="A240" s="34"/>
    </row>
    <row r="241" spans="1:1" ht="14.25" customHeight="1" x14ac:dyDescent="0.3">
      <c r="A241" s="34"/>
    </row>
    <row r="242" spans="1:1" ht="14.25" customHeight="1" x14ac:dyDescent="0.3">
      <c r="A242" s="34"/>
    </row>
    <row r="243" spans="1:1" ht="14.25" customHeight="1" x14ac:dyDescent="0.3">
      <c r="A243" s="34"/>
    </row>
    <row r="244" spans="1:1" ht="14.25" customHeight="1" x14ac:dyDescent="0.3">
      <c r="A244" s="34"/>
    </row>
    <row r="245" spans="1:1" ht="14.25" customHeight="1" x14ac:dyDescent="0.3">
      <c r="A245" s="34"/>
    </row>
    <row r="246" spans="1:1" ht="14.25" customHeight="1" x14ac:dyDescent="0.3">
      <c r="A246" s="34"/>
    </row>
    <row r="247" spans="1:1" ht="14.25" customHeight="1" x14ac:dyDescent="0.3">
      <c r="A247" s="34"/>
    </row>
    <row r="248" spans="1:1" ht="14.25" customHeight="1" x14ac:dyDescent="0.3">
      <c r="A248" s="34"/>
    </row>
    <row r="249" spans="1:1" ht="14.25" customHeight="1" x14ac:dyDescent="0.3">
      <c r="A249" s="34"/>
    </row>
    <row r="250" spans="1:1" ht="14.25" customHeight="1" x14ac:dyDescent="0.3">
      <c r="A250" s="34"/>
    </row>
    <row r="251" spans="1:1" ht="14.25" customHeight="1" x14ac:dyDescent="0.3">
      <c r="A251" s="34"/>
    </row>
    <row r="252" spans="1:1" ht="14.25" customHeight="1" x14ac:dyDescent="0.3">
      <c r="A252" s="34"/>
    </row>
    <row r="253" spans="1:1" ht="14.25" customHeight="1" x14ac:dyDescent="0.3">
      <c r="A253" s="34"/>
    </row>
    <row r="254" spans="1:1" ht="14.25" customHeight="1" x14ac:dyDescent="0.3">
      <c r="A254" s="34"/>
    </row>
    <row r="255" spans="1:1" ht="14.25" customHeight="1" x14ac:dyDescent="0.3">
      <c r="A255" s="34"/>
    </row>
    <row r="256" spans="1:1" ht="14.25" customHeight="1" x14ac:dyDescent="0.3">
      <c r="A256" s="34"/>
    </row>
    <row r="257" spans="1:1" ht="14.25" customHeight="1" x14ac:dyDescent="0.3">
      <c r="A257" s="34"/>
    </row>
    <row r="258" spans="1:1" ht="14.25" customHeight="1" x14ac:dyDescent="0.3">
      <c r="A258" s="34"/>
    </row>
    <row r="259" spans="1:1" ht="14.25" customHeight="1" x14ac:dyDescent="0.3">
      <c r="A259" s="34"/>
    </row>
    <row r="260" spans="1:1" ht="14.25" customHeight="1" x14ac:dyDescent="0.3">
      <c r="A260" s="34"/>
    </row>
    <row r="261" spans="1:1" ht="14.25" customHeight="1" x14ac:dyDescent="0.3">
      <c r="A261" s="34"/>
    </row>
    <row r="262" spans="1:1" ht="14.25" customHeight="1" x14ac:dyDescent="0.3">
      <c r="A262" s="34"/>
    </row>
    <row r="263" spans="1:1" ht="14.25" customHeight="1" x14ac:dyDescent="0.3">
      <c r="A263" s="34"/>
    </row>
    <row r="264" spans="1:1" ht="14.25" customHeight="1" x14ac:dyDescent="0.3">
      <c r="A264" s="34"/>
    </row>
    <row r="265" spans="1:1" ht="14.25" customHeight="1" x14ac:dyDescent="0.3">
      <c r="A265" s="34"/>
    </row>
    <row r="266" spans="1:1" ht="14.25" customHeight="1" x14ac:dyDescent="0.3">
      <c r="A266" s="34"/>
    </row>
    <row r="267" spans="1:1" ht="14.25" customHeight="1" x14ac:dyDescent="0.3">
      <c r="A267" s="34"/>
    </row>
    <row r="268" spans="1:1" ht="14.25" customHeight="1" x14ac:dyDescent="0.3">
      <c r="A268" s="34"/>
    </row>
    <row r="269" spans="1:1" ht="14.25" customHeight="1" x14ac:dyDescent="0.3">
      <c r="A269" s="34"/>
    </row>
    <row r="270" spans="1:1" ht="14.25" customHeight="1" x14ac:dyDescent="0.3">
      <c r="A270" s="34"/>
    </row>
    <row r="271" spans="1:1" ht="14.25" customHeight="1" x14ac:dyDescent="0.3">
      <c r="A271" s="34"/>
    </row>
    <row r="272" spans="1:1" ht="14.25" customHeight="1" x14ac:dyDescent="0.3">
      <c r="A272" s="34"/>
    </row>
    <row r="273" spans="1:1" ht="14.25" customHeight="1" x14ac:dyDescent="0.3">
      <c r="A273" s="34"/>
    </row>
    <row r="274" spans="1:1" ht="14.25" customHeight="1" x14ac:dyDescent="0.3">
      <c r="A274" s="34"/>
    </row>
    <row r="275" spans="1:1" ht="14.25" customHeight="1" x14ac:dyDescent="0.3">
      <c r="A275" s="34"/>
    </row>
    <row r="276" spans="1:1" ht="14.25" customHeight="1" x14ac:dyDescent="0.3">
      <c r="A276" s="34"/>
    </row>
    <row r="277" spans="1:1" ht="14.25" customHeight="1" x14ac:dyDescent="0.3">
      <c r="A277" s="34"/>
    </row>
    <row r="278" spans="1:1" ht="14.25" customHeight="1" x14ac:dyDescent="0.3">
      <c r="A278" s="34"/>
    </row>
    <row r="279" spans="1:1" ht="14.25" customHeight="1" x14ac:dyDescent="0.3">
      <c r="A279" s="34"/>
    </row>
    <row r="280" spans="1:1" ht="14.25" customHeight="1" x14ac:dyDescent="0.3">
      <c r="A280" s="34"/>
    </row>
    <row r="281" spans="1:1" ht="14.25" customHeight="1" x14ac:dyDescent="0.3">
      <c r="A281" s="34"/>
    </row>
    <row r="282" spans="1:1" ht="14.25" customHeight="1" x14ac:dyDescent="0.3">
      <c r="A282" s="34"/>
    </row>
    <row r="283" spans="1:1" ht="14.25" customHeight="1" x14ac:dyDescent="0.3">
      <c r="A283" s="34"/>
    </row>
    <row r="284" spans="1:1" ht="14.25" customHeight="1" x14ac:dyDescent="0.3">
      <c r="A284" s="34"/>
    </row>
    <row r="285" spans="1:1" ht="14.25" customHeight="1" x14ac:dyDescent="0.3">
      <c r="A285" s="34"/>
    </row>
    <row r="286" spans="1:1" ht="14.25" customHeight="1" x14ac:dyDescent="0.3">
      <c r="A286" s="34"/>
    </row>
    <row r="287" spans="1:1" ht="14.25" customHeight="1" x14ac:dyDescent="0.3">
      <c r="A287" s="34"/>
    </row>
    <row r="288" spans="1:1" ht="14.25" customHeight="1" x14ac:dyDescent="0.3">
      <c r="A288" s="34"/>
    </row>
    <row r="289" spans="1:1" ht="14.25" customHeight="1" x14ac:dyDescent="0.3">
      <c r="A289" s="34"/>
    </row>
    <row r="290" spans="1:1" ht="14.25" customHeight="1" x14ac:dyDescent="0.3">
      <c r="A290" s="34"/>
    </row>
    <row r="291" spans="1:1" ht="14.25" customHeight="1" x14ac:dyDescent="0.3">
      <c r="A291" s="34"/>
    </row>
    <row r="292" spans="1:1" ht="14.25" customHeight="1" x14ac:dyDescent="0.3">
      <c r="A292" s="34"/>
    </row>
    <row r="293" spans="1:1" ht="14.25" customHeight="1" x14ac:dyDescent="0.3">
      <c r="A293" s="34"/>
    </row>
    <row r="294" spans="1:1" ht="14.25" customHeight="1" x14ac:dyDescent="0.3">
      <c r="A294" s="34"/>
    </row>
    <row r="295" spans="1:1" ht="14.25" customHeight="1" x14ac:dyDescent="0.3">
      <c r="A295" s="34"/>
    </row>
    <row r="296" spans="1:1" ht="14.25" customHeight="1" x14ac:dyDescent="0.3">
      <c r="A296" s="34"/>
    </row>
    <row r="297" spans="1:1" ht="14.25" customHeight="1" x14ac:dyDescent="0.3">
      <c r="A297" s="34"/>
    </row>
    <row r="298" spans="1:1" ht="14.25" customHeight="1" x14ac:dyDescent="0.3">
      <c r="A298" s="34"/>
    </row>
    <row r="299" spans="1:1" ht="14.25" customHeight="1" x14ac:dyDescent="0.3">
      <c r="A299" s="34"/>
    </row>
    <row r="300" spans="1:1" ht="14.25" customHeight="1" x14ac:dyDescent="0.3">
      <c r="A300" s="34"/>
    </row>
    <row r="301" spans="1:1" ht="14.25" customHeight="1" x14ac:dyDescent="0.3">
      <c r="A301" s="34"/>
    </row>
    <row r="302" spans="1:1" ht="14.25" customHeight="1" x14ac:dyDescent="0.3">
      <c r="A302" s="34"/>
    </row>
    <row r="303" spans="1:1" ht="14.25" customHeight="1" x14ac:dyDescent="0.3">
      <c r="A303" s="34"/>
    </row>
    <row r="304" spans="1:1" ht="14.25" customHeight="1" x14ac:dyDescent="0.3">
      <c r="A304" s="34"/>
    </row>
    <row r="305" spans="1:1" ht="14.25" customHeight="1" x14ac:dyDescent="0.3">
      <c r="A305" s="34"/>
    </row>
    <row r="306" spans="1:1" ht="14.25" customHeight="1" x14ac:dyDescent="0.3">
      <c r="A306" s="34"/>
    </row>
    <row r="307" spans="1:1" ht="14.25" customHeight="1" x14ac:dyDescent="0.3">
      <c r="A307" s="34"/>
    </row>
    <row r="308" spans="1:1" ht="14.25" customHeight="1" x14ac:dyDescent="0.3">
      <c r="A308" s="34"/>
    </row>
    <row r="309" spans="1:1" ht="14.25" customHeight="1" x14ac:dyDescent="0.3">
      <c r="A309" s="34"/>
    </row>
    <row r="310" spans="1:1" ht="14.25" customHeight="1" x14ac:dyDescent="0.3">
      <c r="A310" s="34"/>
    </row>
    <row r="311" spans="1:1" ht="14.25" customHeight="1" x14ac:dyDescent="0.3">
      <c r="A311" s="34"/>
    </row>
    <row r="312" spans="1:1" ht="14.25" customHeight="1" x14ac:dyDescent="0.3">
      <c r="A312" s="34"/>
    </row>
    <row r="313" spans="1:1" ht="14.25" customHeight="1" x14ac:dyDescent="0.3">
      <c r="A313" s="34"/>
    </row>
    <row r="314" spans="1:1" ht="14.25" customHeight="1" x14ac:dyDescent="0.3">
      <c r="A314" s="34"/>
    </row>
    <row r="315" spans="1:1" ht="14.25" customHeight="1" x14ac:dyDescent="0.3">
      <c r="A315" s="34"/>
    </row>
    <row r="316" spans="1:1" ht="14.25" customHeight="1" x14ac:dyDescent="0.3">
      <c r="A316" s="34"/>
    </row>
    <row r="317" spans="1:1" ht="14.25" customHeight="1" x14ac:dyDescent="0.3">
      <c r="A317" s="34"/>
    </row>
    <row r="318" spans="1:1" ht="14.25" customHeight="1" x14ac:dyDescent="0.3">
      <c r="A318" s="34"/>
    </row>
    <row r="319" spans="1:1" ht="14.25" customHeight="1" x14ac:dyDescent="0.3">
      <c r="A319" s="34"/>
    </row>
    <row r="320" spans="1:1" ht="14.25" customHeight="1" x14ac:dyDescent="0.3">
      <c r="A320" s="34"/>
    </row>
    <row r="321" spans="1:1" ht="14.25" customHeight="1" x14ac:dyDescent="0.3">
      <c r="A321" s="34"/>
    </row>
    <row r="322" spans="1:1" ht="14.25" customHeight="1" x14ac:dyDescent="0.3">
      <c r="A322" s="34"/>
    </row>
    <row r="323" spans="1:1" ht="14.25" customHeight="1" x14ac:dyDescent="0.3">
      <c r="A323" s="34"/>
    </row>
    <row r="324" spans="1:1" ht="14.25" customHeight="1" x14ac:dyDescent="0.3">
      <c r="A324" s="34"/>
    </row>
    <row r="325" spans="1:1" ht="14.25" customHeight="1" x14ac:dyDescent="0.3">
      <c r="A325" s="34"/>
    </row>
    <row r="326" spans="1:1" ht="14.25" customHeight="1" x14ac:dyDescent="0.3">
      <c r="A326" s="34"/>
    </row>
    <row r="327" spans="1:1" ht="14.25" customHeight="1" x14ac:dyDescent="0.3">
      <c r="A327" s="34"/>
    </row>
    <row r="328" spans="1:1" ht="14.25" customHeight="1" x14ac:dyDescent="0.3">
      <c r="A328" s="34"/>
    </row>
    <row r="329" spans="1:1" ht="14.25" customHeight="1" x14ac:dyDescent="0.3">
      <c r="A329" s="34"/>
    </row>
    <row r="330" spans="1:1" ht="14.25" customHeight="1" x14ac:dyDescent="0.3">
      <c r="A330" s="34"/>
    </row>
    <row r="331" spans="1:1" ht="14.25" customHeight="1" x14ac:dyDescent="0.3">
      <c r="A331" s="34"/>
    </row>
    <row r="332" spans="1:1" ht="14.25" customHeight="1" x14ac:dyDescent="0.3">
      <c r="A332" s="34"/>
    </row>
    <row r="333" spans="1:1" ht="14.25" customHeight="1" x14ac:dyDescent="0.3">
      <c r="A333" s="34"/>
    </row>
    <row r="334" spans="1:1" ht="14.25" customHeight="1" x14ac:dyDescent="0.3">
      <c r="A334" s="34"/>
    </row>
    <row r="335" spans="1:1" ht="14.25" customHeight="1" x14ac:dyDescent="0.3">
      <c r="A335" s="34"/>
    </row>
    <row r="336" spans="1:1" ht="14.25" customHeight="1" x14ac:dyDescent="0.3">
      <c r="A336" s="34"/>
    </row>
    <row r="337" spans="1:1" ht="14.25" customHeight="1" x14ac:dyDescent="0.3">
      <c r="A337" s="34"/>
    </row>
    <row r="338" spans="1:1" ht="14.25" customHeight="1" x14ac:dyDescent="0.3">
      <c r="A338" s="34"/>
    </row>
    <row r="339" spans="1:1" ht="14.25" customHeight="1" x14ac:dyDescent="0.3">
      <c r="A339" s="34"/>
    </row>
    <row r="340" spans="1:1" ht="14.25" customHeight="1" x14ac:dyDescent="0.3">
      <c r="A340" s="34"/>
    </row>
    <row r="341" spans="1:1" ht="14.25" customHeight="1" x14ac:dyDescent="0.3">
      <c r="A341" s="34"/>
    </row>
    <row r="342" spans="1:1" ht="14.25" customHeight="1" x14ac:dyDescent="0.3">
      <c r="A342" s="34"/>
    </row>
    <row r="343" spans="1:1" ht="14.25" customHeight="1" x14ac:dyDescent="0.3">
      <c r="A343" s="34"/>
    </row>
    <row r="344" spans="1:1" ht="14.25" customHeight="1" x14ac:dyDescent="0.3">
      <c r="A344" s="34"/>
    </row>
    <row r="345" spans="1:1" ht="14.25" customHeight="1" x14ac:dyDescent="0.3">
      <c r="A345" s="34"/>
    </row>
    <row r="346" spans="1:1" ht="14.25" customHeight="1" x14ac:dyDescent="0.3">
      <c r="A346" s="34"/>
    </row>
    <row r="347" spans="1:1" ht="14.25" customHeight="1" x14ac:dyDescent="0.3">
      <c r="A347" s="34"/>
    </row>
    <row r="348" spans="1:1" ht="14.25" customHeight="1" x14ac:dyDescent="0.3">
      <c r="A348" s="34"/>
    </row>
    <row r="349" spans="1:1" ht="14.25" customHeight="1" x14ac:dyDescent="0.3">
      <c r="A349" s="34"/>
    </row>
    <row r="350" spans="1:1" ht="14.25" customHeight="1" x14ac:dyDescent="0.3">
      <c r="A350" s="34"/>
    </row>
    <row r="351" spans="1:1" ht="14.25" customHeight="1" x14ac:dyDescent="0.3">
      <c r="A351" s="34"/>
    </row>
    <row r="352" spans="1:1" ht="14.25" customHeight="1" x14ac:dyDescent="0.3">
      <c r="A352" s="34"/>
    </row>
    <row r="353" spans="1:1" ht="14.25" customHeight="1" x14ac:dyDescent="0.3">
      <c r="A353" s="34"/>
    </row>
    <row r="354" spans="1:1" ht="14.25" customHeight="1" x14ac:dyDescent="0.3">
      <c r="A354" s="34"/>
    </row>
    <row r="355" spans="1:1" ht="14.25" customHeight="1" x14ac:dyDescent="0.3">
      <c r="A355" s="34"/>
    </row>
    <row r="356" spans="1:1" ht="14.25" customHeight="1" x14ac:dyDescent="0.3">
      <c r="A356" s="34"/>
    </row>
    <row r="357" spans="1:1" ht="14.25" customHeight="1" x14ac:dyDescent="0.3">
      <c r="A357" s="34"/>
    </row>
    <row r="358" spans="1:1" ht="14.25" customHeight="1" x14ac:dyDescent="0.3">
      <c r="A358" s="34"/>
    </row>
    <row r="359" spans="1:1" ht="14.25" customHeight="1" x14ac:dyDescent="0.3">
      <c r="A359" s="34"/>
    </row>
    <row r="360" spans="1:1" ht="14.25" customHeight="1" x14ac:dyDescent="0.3">
      <c r="A360" s="34"/>
    </row>
    <row r="361" spans="1:1" ht="14.25" customHeight="1" x14ac:dyDescent="0.3">
      <c r="A361" s="34"/>
    </row>
    <row r="362" spans="1:1" ht="14.25" customHeight="1" x14ac:dyDescent="0.3">
      <c r="A362" s="34"/>
    </row>
    <row r="363" spans="1:1" ht="14.25" customHeight="1" x14ac:dyDescent="0.3">
      <c r="A363" s="34"/>
    </row>
    <row r="364" spans="1:1" ht="14.25" customHeight="1" x14ac:dyDescent="0.3">
      <c r="A364" s="34"/>
    </row>
    <row r="365" spans="1:1" ht="14.25" customHeight="1" x14ac:dyDescent="0.3">
      <c r="A365" s="34"/>
    </row>
    <row r="366" spans="1:1" ht="14.25" customHeight="1" x14ac:dyDescent="0.3">
      <c r="A366" s="34"/>
    </row>
    <row r="367" spans="1:1" ht="14.25" customHeight="1" x14ac:dyDescent="0.3">
      <c r="A367" s="34"/>
    </row>
    <row r="368" spans="1:1" ht="14.25" customHeight="1" x14ac:dyDescent="0.3">
      <c r="A368" s="34"/>
    </row>
    <row r="369" spans="1:1" ht="14.25" customHeight="1" x14ac:dyDescent="0.3">
      <c r="A369" s="34"/>
    </row>
    <row r="370" spans="1:1" ht="14.25" customHeight="1" x14ac:dyDescent="0.3">
      <c r="A370" s="34"/>
    </row>
    <row r="371" spans="1:1" ht="14.25" customHeight="1" x14ac:dyDescent="0.3">
      <c r="A371" s="34"/>
    </row>
    <row r="372" spans="1:1" ht="14.25" customHeight="1" x14ac:dyDescent="0.3">
      <c r="A372" s="34"/>
    </row>
    <row r="373" spans="1:1" ht="14.25" customHeight="1" x14ac:dyDescent="0.3">
      <c r="A373" s="34"/>
    </row>
    <row r="374" spans="1:1" ht="14.25" customHeight="1" x14ac:dyDescent="0.3">
      <c r="A374" s="34"/>
    </row>
    <row r="375" spans="1:1" ht="14.25" customHeight="1" x14ac:dyDescent="0.3">
      <c r="A375" s="34"/>
    </row>
    <row r="376" spans="1:1" ht="14.25" customHeight="1" x14ac:dyDescent="0.3">
      <c r="A376" s="34"/>
    </row>
    <row r="377" spans="1:1" ht="14.25" customHeight="1" x14ac:dyDescent="0.3">
      <c r="A377" s="34"/>
    </row>
    <row r="378" spans="1:1" ht="14.25" customHeight="1" x14ac:dyDescent="0.3">
      <c r="A378" s="34"/>
    </row>
    <row r="379" spans="1:1" ht="14.25" customHeight="1" x14ac:dyDescent="0.3">
      <c r="A379" s="34"/>
    </row>
    <row r="380" spans="1:1" ht="14.25" customHeight="1" x14ac:dyDescent="0.3">
      <c r="A380" s="34"/>
    </row>
    <row r="381" spans="1:1" ht="14.25" customHeight="1" x14ac:dyDescent="0.3">
      <c r="A381" s="34"/>
    </row>
    <row r="382" spans="1:1" ht="14.25" customHeight="1" x14ac:dyDescent="0.3">
      <c r="A382" s="34"/>
    </row>
    <row r="383" spans="1:1" ht="14.25" customHeight="1" x14ac:dyDescent="0.3">
      <c r="A383" s="34"/>
    </row>
    <row r="384" spans="1:1" ht="14.25" customHeight="1" x14ac:dyDescent="0.3">
      <c r="A384" s="34"/>
    </row>
    <row r="385" spans="1:1" ht="14.25" customHeight="1" x14ac:dyDescent="0.3">
      <c r="A385" s="34"/>
    </row>
    <row r="386" spans="1:1" ht="14.25" customHeight="1" x14ac:dyDescent="0.3">
      <c r="A386" s="34"/>
    </row>
    <row r="387" spans="1:1" ht="14.25" customHeight="1" x14ac:dyDescent="0.3">
      <c r="A387" s="34"/>
    </row>
    <row r="388" spans="1:1" ht="14.25" customHeight="1" x14ac:dyDescent="0.3">
      <c r="A388" s="34"/>
    </row>
    <row r="389" spans="1:1" ht="14.25" customHeight="1" x14ac:dyDescent="0.3">
      <c r="A389" s="34"/>
    </row>
    <row r="390" spans="1:1" ht="14.25" customHeight="1" x14ac:dyDescent="0.3">
      <c r="A390" s="34"/>
    </row>
    <row r="391" spans="1:1" ht="14.25" customHeight="1" x14ac:dyDescent="0.3">
      <c r="A391" s="34"/>
    </row>
    <row r="392" spans="1:1" ht="14.25" customHeight="1" x14ac:dyDescent="0.3">
      <c r="A392" s="34"/>
    </row>
    <row r="393" spans="1:1" ht="14.25" customHeight="1" x14ac:dyDescent="0.3">
      <c r="A393" s="34"/>
    </row>
    <row r="394" spans="1:1" ht="14.25" customHeight="1" x14ac:dyDescent="0.3">
      <c r="A394" s="34"/>
    </row>
    <row r="395" spans="1:1" ht="14.25" customHeight="1" x14ac:dyDescent="0.3">
      <c r="A395" s="34"/>
    </row>
    <row r="396" spans="1:1" ht="14.25" customHeight="1" x14ac:dyDescent="0.3">
      <c r="A396" s="34"/>
    </row>
    <row r="397" spans="1:1" ht="14.25" customHeight="1" x14ac:dyDescent="0.3">
      <c r="A397" s="34"/>
    </row>
    <row r="398" spans="1:1" ht="14.25" customHeight="1" x14ac:dyDescent="0.3">
      <c r="A398" s="34"/>
    </row>
    <row r="399" spans="1:1" ht="14.25" customHeight="1" x14ac:dyDescent="0.3">
      <c r="A399" s="34"/>
    </row>
    <row r="400" spans="1:1" ht="14.25" customHeight="1" x14ac:dyDescent="0.3">
      <c r="A400" s="34"/>
    </row>
    <row r="401" spans="1:1" ht="14.25" customHeight="1" x14ac:dyDescent="0.3">
      <c r="A401" s="34"/>
    </row>
    <row r="402" spans="1:1" ht="14.25" customHeight="1" x14ac:dyDescent="0.3">
      <c r="A402" s="34"/>
    </row>
    <row r="403" spans="1:1" ht="14.25" customHeight="1" x14ac:dyDescent="0.3">
      <c r="A403" s="34"/>
    </row>
    <row r="404" spans="1:1" ht="14.25" customHeight="1" x14ac:dyDescent="0.3">
      <c r="A404" s="34"/>
    </row>
    <row r="405" spans="1:1" ht="14.25" customHeight="1" x14ac:dyDescent="0.3">
      <c r="A405" s="34"/>
    </row>
    <row r="406" spans="1:1" ht="14.25" customHeight="1" x14ac:dyDescent="0.3">
      <c r="A406" s="34"/>
    </row>
    <row r="407" spans="1:1" ht="14.25" customHeight="1" x14ac:dyDescent="0.3">
      <c r="A407" s="34"/>
    </row>
    <row r="408" spans="1:1" ht="14.25" customHeight="1" x14ac:dyDescent="0.3">
      <c r="A408" s="34"/>
    </row>
    <row r="409" spans="1:1" ht="14.25" customHeight="1" x14ac:dyDescent="0.3">
      <c r="A409" s="34"/>
    </row>
    <row r="410" spans="1:1" ht="14.25" customHeight="1" x14ac:dyDescent="0.3">
      <c r="A410" s="34"/>
    </row>
    <row r="411" spans="1:1" ht="14.25" customHeight="1" x14ac:dyDescent="0.3">
      <c r="A411" s="34"/>
    </row>
    <row r="412" spans="1:1" ht="14.25" customHeight="1" x14ac:dyDescent="0.3">
      <c r="A412" s="34"/>
    </row>
    <row r="413" spans="1:1" ht="14.25" customHeight="1" x14ac:dyDescent="0.3">
      <c r="A413" s="34"/>
    </row>
    <row r="414" spans="1:1" ht="14.25" customHeight="1" x14ac:dyDescent="0.3">
      <c r="A414" s="34"/>
    </row>
    <row r="415" spans="1:1" ht="14.25" customHeight="1" x14ac:dyDescent="0.3">
      <c r="A415" s="34"/>
    </row>
    <row r="416" spans="1:1" ht="14.25" customHeight="1" x14ac:dyDescent="0.3">
      <c r="A416" s="34"/>
    </row>
    <row r="417" spans="1:1" ht="14.25" customHeight="1" x14ac:dyDescent="0.3">
      <c r="A417" s="34"/>
    </row>
    <row r="418" spans="1:1" ht="14.25" customHeight="1" x14ac:dyDescent="0.3">
      <c r="A418" s="34"/>
    </row>
    <row r="419" spans="1:1" ht="14.25" customHeight="1" x14ac:dyDescent="0.3">
      <c r="A419" s="34"/>
    </row>
    <row r="420" spans="1:1" ht="14.25" customHeight="1" x14ac:dyDescent="0.3">
      <c r="A420" s="34"/>
    </row>
    <row r="421" spans="1:1" ht="14.25" customHeight="1" x14ac:dyDescent="0.3">
      <c r="A421" s="34"/>
    </row>
    <row r="422" spans="1:1" ht="14.25" customHeight="1" x14ac:dyDescent="0.3">
      <c r="A422" s="34"/>
    </row>
    <row r="423" spans="1:1" ht="14.25" customHeight="1" x14ac:dyDescent="0.3">
      <c r="A423" s="34"/>
    </row>
    <row r="424" spans="1:1" ht="14.25" customHeight="1" x14ac:dyDescent="0.3">
      <c r="A424" s="34"/>
    </row>
    <row r="425" spans="1:1" ht="14.25" customHeight="1" x14ac:dyDescent="0.3">
      <c r="A425" s="34"/>
    </row>
    <row r="426" spans="1:1" ht="14.25" customHeight="1" x14ac:dyDescent="0.3">
      <c r="A426" s="34"/>
    </row>
    <row r="427" spans="1:1" ht="14.25" customHeight="1" x14ac:dyDescent="0.3">
      <c r="A427" s="34"/>
    </row>
    <row r="428" spans="1:1" ht="14.25" customHeight="1" x14ac:dyDescent="0.3">
      <c r="A428" s="34"/>
    </row>
    <row r="429" spans="1:1" ht="14.25" customHeight="1" x14ac:dyDescent="0.3">
      <c r="A429" s="34"/>
    </row>
    <row r="430" spans="1:1" ht="14.25" customHeight="1" x14ac:dyDescent="0.3">
      <c r="A430" s="34"/>
    </row>
    <row r="431" spans="1:1" ht="14.25" customHeight="1" x14ac:dyDescent="0.3">
      <c r="A431" s="34"/>
    </row>
    <row r="432" spans="1:1" ht="14.25" customHeight="1" x14ac:dyDescent="0.3">
      <c r="A432" s="34"/>
    </row>
    <row r="433" spans="1:1" ht="14.25" customHeight="1" x14ac:dyDescent="0.3">
      <c r="A433" s="34"/>
    </row>
    <row r="434" spans="1:1" ht="14.25" customHeight="1" x14ac:dyDescent="0.3">
      <c r="A434" s="34"/>
    </row>
    <row r="435" spans="1:1" ht="14.25" customHeight="1" x14ac:dyDescent="0.3">
      <c r="A435" s="34"/>
    </row>
    <row r="436" spans="1:1" ht="14.25" customHeight="1" x14ac:dyDescent="0.3">
      <c r="A436" s="34"/>
    </row>
    <row r="437" spans="1:1" ht="14.25" customHeight="1" x14ac:dyDescent="0.3">
      <c r="A437" s="34"/>
    </row>
    <row r="438" spans="1:1" ht="14.25" customHeight="1" x14ac:dyDescent="0.3">
      <c r="A438" s="34"/>
    </row>
    <row r="439" spans="1:1" ht="14.25" customHeight="1" x14ac:dyDescent="0.3">
      <c r="A439" s="34"/>
    </row>
    <row r="440" spans="1:1" ht="14.25" customHeight="1" x14ac:dyDescent="0.3">
      <c r="A440" s="34"/>
    </row>
    <row r="441" spans="1:1" ht="14.25" customHeight="1" x14ac:dyDescent="0.3">
      <c r="A441" s="34"/>
    </row>
    <row r="442" spans="1:1" ht="14.25" customHeight="1" x14ac:dyDescent="0.3">
      <c r="A442" s="34"/>
    </row>
    <row r="443" spans="1:1" ht="14.25" customHeight="1" x14ac:dyDescent="0.3">
      <c r="A443" s="34"/>
    </row>
    <row r="444" spans="1:1" ht="14.25" customHeight="1" x14ac:dyDescent="0.3">
      <c r="A444" s="34"/>
    </row>
    <row r="445" spans="1:1" ht="14.25" customHeight="1" x14ac:dyDescent="0.3">
      <c r="A445" s="34"/>
    </row>
    <row r="446" spans="1:1" ht="14.25" customHeight="1" x14ac:dyDescent="0.3">
      <c r="A446" s="34"/>
    </row>
    <row r="447" spans="1:1" ht="14.25" customHeight="1" x14ac:dyDescent="0.3">
      <c r="A447" s="34"/>
    </row>
    <row r="448" spans="1:1" ht="14.25" customHeight="1" x14ac:dyDescent="0.3">
      <c r="A448" s="34"/>
    </row>
    <row r="449" spans="1:1" ht="14.25" customHeight="1" x14ac:dyDescent="0.3">
      <c r="A449" s="34"/>
    </row>
    <row r="450" spans="1:1" ht="14.25" customHeight="1" x14ac:dyDescent="0.3">
      <c r="A450" s="34"/>
    </row>
    <row r="451" spans="1:1" ht="14.25" customHeight="1" x14ac:dyDescent="0.3">
      <c r="A451" s="34"/>
    </row>
    <row r="452" spans="1:1" ht="14.25" customHeight="1" x14ac:dyDescent="0.3">
      <c r="A452" s="34"/>
    </row>
    <row r="453" spans="1:1" ht="14.25" customHeight="1" x14ac:dyDescent="0.3">
      <c r="A453" s="34"/>
    </row>
    <row r="454" spans="1:1" ht="14.25" customHeight="1" x14ac:dyDescent="0.3">
      <c r="A454" s="34"/>
    </row>
    <row r="455" spans="1:1" ht="14.25" customHeight="1" x14ac:dyDescent="0.3">
      <c r="A455" s="34"/>
    </row>
    <row r="456" spans="1:1" ht="14.25" customHeight="1" x14ac:dyDescent="0.3">
      <c r="A456" s="34"/>
    </row>
    <row r="457" spans="1:1" ht="14.25" customHeight="1" x14ac:dyDescent="0.3">
      <c r="A457" s="34"/>
    </row>
    <row r="458" spans="1:1" ht="14.25" customHeight="1" x14ac:dyDescent="0.3">
      <c r="A458" s="34"/>
    </row>
    <row r="459" spans="1:1" ht="14.25" customHeight="1" x14ac:dyDescent="0.3">
      <c r="A459" s="34"/>
    </row>
    <row r="460" spans="1:1" ht="14.25" customHeight="1" x14ac:dyDescent="0.3">
      <c r="A460" s="34"/>
    </row>
    <row r="461" spans="1:1" ht="14.25" customHeight="1" x14ac:dyDescent="0.3">
      <c r="A461" s="34"/>
    </row>
    <row r="462" spans="1:1" ht="14.25" customHeight="1" x14ac:dyDescent="0.3">
      <c r="A462" s="34"/>
    </row>
    <row r="463" spans="1:1" ht="14.25" customHeight="1" x14ac:dyDescent="0.3">
      <c r="A463" s="34"/>
    </row>
    <row r="464" spans="1:1" ht="14.25" customHeight="1" x14ac:dyDescent="0.3">
      <c r="A464" s="34"/>
    </row>
    <row r="465" spans="1:1" ht="14.25" customHeight="1" x14ac:dyDescent="0.3">
      <c r="A465" s="34"/>
    </row>
    <row r="466" spans="1:1" ht="14.25" customHeight="1" x14ac:dyDescent="0.3">
      <c r="A466" s="34"/>
    </row>
    <row r="467" spans="1:1" ht="14.25" customHeight="1" x14ac:dyDescent="0.3">
      <c r="A467" s="34"/>
    </row>
    <row r="468" spans="1:1" ht="14.25" customHeight="1" x14ac:dyDescent="0.3">
      <c r="A468" s="34"/>
    </row>
    <row r="469" spans="1:1" ht="14.25" customHeight="1" x14ac:dyDescent="0.3">
      <c r="A469" s="34"/>
    </row>
    <row r="470" spans="1:1" ht="14.25" customHeight="1" x14ac:dyDescent="0.3">
      <c r="A470" s="34"/>
    </row>
    <row r="471" spans="1:1" ht="14.25" customHeight="1" x14ac:dyDescent="0.3">
      <c r="A471" s="34"/>
    </row>
    <row r="472" spans="1:1" ht="14.25" customHeight="1" x14ac:dyDescent="0.3">
      <c r="A472" s="34"/>
    </row>
    <row r="473" spans="1:1" ht="14.25" customHeight="1" x14ac:dyDescent="0.3">
      <c r="A473" s="34"/>
    </row>
    <row r="474" spans="1:1" ht="14.25" customHeight="1" x14ac:dyDescent="0.3">
      <c r="A474" s="34"/>
    </row>
    <row r="475" spans="1:1" ht="14.25" customHeight="1" x14ac:dyDescent="0.3">
      <c r="A475" s="34"/>
    </row>
    <row r="476" spans="1:1" ht="14.25" customHeight="1" x14ac:dyDescent="0.3">
      <c r="A476" s="34"/>
    </row>
    <row r="477" spans="1:1" ht="14.25" customHeight="1" x14ac:dyDescent="0.3">
      <c r="A477" s="34"/>
    </row>
    <row r="478" spans="1:1" ht="14.25" customHeight="1" x14ac:dyDescent="0.3">
      <c r="A478" s="34"/>
    </row>
    <row r="479" spans="1:1" ht="14.25" customHeight="1" x14ac:dyDescent="0.3">
      <c r="A479" s="34"/>
    </row>
    <row r="480" spans="1:1" ht="14.25" customHeight="1" x14ac:dyDescent="0.3">
      <c r="A480" s="34"/>
    </row>
    <row r="481" spans="1:1" ht="14.25" customHeight="1" x14ac:dyDescent="0.3">
      <c r="A481" s="34"/>
    </row>
    <row r="482" spans="1:1" ht="14.25" customHeight="1" x14ac:dyDescent="0.3">
      <c r="A482" s="34"/>
    </row>
    <row r="483" spans="1:1" ht="14.25" customHeight="1" x14ac:dyDescent="0.3">
      <c r="A483" s="34"/>
    </row>
    <row r="484" spans="1:1" ht="14.25" customHeight="1" x14ac:dyDescent="0.3">
      <c r="A484" s="34"/>
    </row>
    <row r="485" spans="1:1" ht="14.25" customHeight="1" x14ac:dyDescent="0.3">
      <c r="A485" s="34"/>
    </row>
    <row r="486" spans="1:1" ht="14.25" customHeight="1" x14ac:dyDescent="0.3">
      <c r="A486" s="34"/>
    </row>
    <row r="487" spans="1:1" ht="14.25" customHeight="1" x14ac:dyDescent="0.3">
      <c r="A487" s="34"/>
    </row>
    <row r="488" spans="1:1" ht="14.25" customHeight="1" x14ac:dyDescent="0.3">
      <c r="A488" s="34"/>
    </row>
    <row r="489" spans="1:1" ht="14.25" customHeight="1" x14ac:dyDescent="0.3">
      <c r="A489" s="34"/>
    </row>
    <row r="490" spans="1:1" ht="14.25" customHeight="1" x14ac:dyDescent="0.3">
      <c r="A490" s="34"/>
    </row>
    <row r="491" spans="1:1" ht="14.25" customHeight="1" x14ac:dyDescent="0.3">
      <c r="A491" s="34"/>
    </row>
    <row r="492" spans="1:1" ht="14.25" customHeight="1" x14ac:dyDescent="0.3">
      <c r="A492" s="34"/>
    </row>
    <row r="493" spans="1:1" ht="14.25" customHeight="1" x14ac:dyDescent="0.3">
      <c r="A493" s="34"/>
    </row>
    <row r="494" spans="1:1" ht="14.25" customHeight="1" x14ac:dyDescent="0.3">
      <c r="A494" s="34"/>
    </row>
    <row r="495" spans="1:1" ht="14.25" customHeight="1" x14ac:dyDescent="0.3">
      <c r="A495" s="34"/>
    </row>
    <row r="496" spans="1:1" ht="14.25" customHeight="1" x14ac:dyDescent="0.3">
      <c r="A496" s="34"/>
    </row>
    <row r="497" spans="1:1" ht="14.25" customHeight="1" x14ac:dyDescent="0.3">
      <c r="A497" s="34"/>
    </row>
    <row r="498" spans="1:1" ht="14.25" customHeight="1" x14ac:dyDescent="0.3">
      <c r="A498" s="34"/>
    </row>
    <row r="499" spans="1:1" ht="14.25" customHeight="1" x14ac:dyDescent="0.3">
      <c r="A499" s="34"/>
    </row>
    <row r="500" spans="1:1" ht="14.25" customHeight="1" x14ac:dyDescent="0.3">
      <c r="A500" s="34"/>
    </row>
    <row r="501" spans="1:1" ht="14.25" customHeight="1" x14ac:dyDescent="0.3">
      <c r="A501" s="34"/>
    </row>
    <row r="502" spans="1:1" ht="14.25" customHeight="1" x14ac:dyDescent="0.3">
      <c r="A502" s="34"/>
    </row>
    <row r="503" spans="1:1" ht="14.25" customHeight="1" x14ac:dyDescent="0.3">
      <c r="A503" s="34"/>
    </row>
    <row r="504" spans="1:1" ht="14.25" customHeight="1" x14ac:dyDescent="0.3">
      <c r="A504" s="34"/>
    </row>
    <row r="505" spans="1:1" ht="14.25" customHeight="1" x14ac:dyDescent="0.3">
      <c r="A505" s="34"/>
    </row>
    <row r="506" spans="1:1" ht="14.25" customHeight="1" x14ac:dyDescent="0.3">
      <c r="A506" s="34"/>
    </row>
    <row r="507" spans="1:1" ht="14.25" customHeight="1" x14ac:dyDescent="0.3">
      <c r="A507" s="34"/>
    </row>
    <row r="508" spans="1:1" ht="14.25" customHeight="1" x14ac:dyDescent="0.3">
      <c r="A508" s="34"/>
    </row>
    <row r="509" spans="1:1" ht="14.25" customHeight="1" x14ac:dyDescent="0.3">
      <c r="A509" s="34"/>
    </row>
    <row r="510" spans="1:1" ht="14.25" customHeight="1" x14ac:dyDescent="0.3">
      <c r="A510" s="34"/>
    </row>
    <row r="511" spans="1:1" ht="14.25" customHeight="1" x14ac:dyDescent="0.3">
      <c r="A511" s="34"/>
    </row>
    <row r="512" spans="1:1" ht="14.25" customHeight="1" x14ac:dyDescent="0.3">
      <c r="A512" s="34"/>
    </row>
    <row r="513" spans="1:1" ht="14.25" customHeight="1" x14ac:dyDescent="0.3">
      <c r="A513" s="34"/>
    </row>
    <row r="514" spans="1:1" ht="14.25" customHeight="1" x14ac:dyDescent="0.3">
      <c r="A514" s="34"/>
    </row>
    <row r="515" spans="1:1" ht="14.25" customHeight="1" x14ac:dyDescent="0.3">
      <c r="A515" s="34"/>
    </row>
    <row r="516" spans="1:1" ht="14.25" customHeight="1" x14ac:dyDescent="0.3">
      <c r="A516" s="34"/>
    </row>
    <row r="517" spans="1:1" ht="14.25" customHeight="1" x14ac:dyDescent="0.3">
      <c r="A517" s="34"/>
    </row>
    <row r="518" spans="1:1" ht="14.25" customHeight="1" x14ac:dyDescent="0.3">
      <c r="A518" s="34"/>
    </row>
    <row r="519" spans="1:1" ht="14.25" customHeight="1" x14ac:dyDescent="0.3">
      <c r="A519" s="34"/>
    </row>
    <row r="520" spans="1:1" ht="14.25" customHeight="1" x14ac:dyDescent="0.3">
      <c r="A520" s="34"/>
    </row>
    <row r="521" spans="1:1" ht="14.25" customHeight="1" x14ac:dyDescent="0.3">
      <c r="A521" s="34"/>
    </row>
    <row r="522" spans="1:1" ht="14.25" customHeight="1" x14ac:dyDescent="0.3">
      <c r="A522" s="34"/>
    </row>
    <row r="523" spans="1:1" ht="14.25" customHeight="1" x14ac:dyDescent="0.3">
      <c r="A523" s="34"/>
    </row>
    <row r="524" spans="1:1" ht="14.25" customHeight="1" x14ac:dyDescent="0.3">
      <c r="A524" s="34"/>
    </row>
    <row r="525" spans="1:1" ht="14.25" customHeight="1" x14ac:dyDescent="0.3">
      <c r="A525" s="34"/>
    </row>
    <row r="526" spans="1:1" ht="14.25" customHeight="1" x14ac:dyDescent="0.3">
      <c r="A526" s="34"/>
    </row>
    <row r="527" spans="1:1" ht="14.25" customHeight="1" x14ac:dyDescent="0.3">
      <c r="A527" s="34"/>
    </row>
    <row r="528" spans="1:1" ht="14.25" customHeight="1" x14ac:dyDescent="0.3">
      <c r="A528" s="34"/>
    </row>
    <row r="529" spans="1:1" ht="14.25" customHeight="1" x14ac:dyDescent="0.3">
      <c r="A529" s="34"/>
    </row>
    <row r="530" spans="1:1" ht="14.25" customHeight="1" x14ac:dyDescent="0.3">
      <c r="A530" s="34"/>
    </row>
    <row r="531" spans="1:1" ht="14.25" customHeight="1" x14ac:dyDescent="0.3">
      <c r="A531" s="34"/>
    </row>
    <row r="532" spans="1:1" ht="14.25" customHeight="1" x14ac:dyDescent="0.3">
      <c r="A532" s="34"/>
    </row>
    <row r="533" spans="1:1" ht="14.25" customHeight="1" x14ac:dyDescent="0.3">
      <c r="A533" s="34"/>
    </row>
    <row r="534" spans="1:1" ht="14.25" customHeight="1" x14ac:dyDescent="0.3">
      <c r="A534" s="34"/>
    </row>
    <row r="535" spans="1:1" ht="14.25" customHeight="1" x14ac:dyDescent="0.3">
      <c r="A535" s="34"/>
    </row>
    <row r="536" spans="1:1" ht="14.25" customHeight="1" x14ac:dyDescent="0.3">
      <c r="A536" s="34"/>
    </row>
    <row r="537" spans="1:1" ht="14.25" customHeight="1" x14ac:dyDescent="0.3">
      <c r="A537" s="34"/>
    </row>
    <row r="538" spans="1:1" ht="14.25" customHeight="1" x14ac:dyDescent="0.3">
      <c r="A538" s="34"/>
    </row>
    <row r="539" spans="1:1" ht="14.25" customHeight="1" x14ac:dyDescent="0.3">
      <c r="A539" s="34"/>
    </row>
    <row r="540" spans="1:1" ht="14.25" customHeight="1" x14ac:dyDescent="0.3">
      <c r="A540" s="34"/>
    </row>
    <row r="541" spans="1:1" ht="14.25" customHeight="1" x14ac:dyDescent="0.3">
      <c r="A541" s="34"/>
    </row>
    <row r="542" spans="1:1" ht="14.25" customHeight="1" x14ac:dyDescent="0.3">
      <c r="A542" s="34"/>
    </row>
    <row r="543" spans="1:1" ht="14.25" customHeight="1" x14ac:dyDescent="0.3">
      <c r="A543" s="34"/>
    </row>
    <row r="544" spans="1:1" ht="14.25" customHeight="1" x14ac:dyDescent="0.3">
      <c r="A544" s="34"/>
    </row>
    <row r="545" spans="1:1" ht="14.25" customHeight="1" x14ac:dyDescent="0.3">
      <c r="A545" s="34"/>
    </row>
    <row r="546" spans="1:1" ht="14.25" customHeight="1" x14ac:dyDescent="0.3">
      <c r="A546" s="34"/>
    </row>
    <row r="547" spans="1:1" ht="14.25" customHeight="1" x14ac:dyDescent="0.3">
      <c r="A547" s="34"/>
    </row>
    <row r="548" spans="1:1" ht="14.25" customHeight="1" x14ac:dyDescent="0.3">
      <c r="A548" s="34"/>
    </row>
    <row r="549" spans="1:1" ht="14.25" customHeight="1" x14ac:dyDescent="0.3">
      <c r="A549" s="34"/>
    </row>
    <row r="550" spans="1:1" ht="14.25" customHeight="1" x14ac:dyDescent="0.3">
      <c r="A550" s="34"/>
    </row>
    <row r="551" spans="1:1" ht="14.25" customHeight="1" x14ac:dyDescent="0.3">
      <c r="A551" s="34"/>
    </row>
    <row r="552" spans="1:1" ht="14.25" customHeight="1" x14ac:dyDescent="0.3">
      <c r="A552" s="34"/>
    </row>
    <row r="553" spans="1:1" ht="14.25" customHeight="1" x14ac:dyDescent="0.3">
      <c r="A553" s="34"/>
    </row>
    <row r="554" spans="1:1" ht="14.25" customHeight="1" x14ac:dyDescent="0.3">
      <c r="A554" s="34"/>
    </row>
    <row r="555" spans="1:1" ht="14.25" customHeight="1" x14ac:dyDescent="0.3">
      <c r="A555" s="34"/>
    </row>
    <row r="556" spans="1:1" ht="14.25" customHeight="1" x14ac:dyDescent="0.3">
      <c r="A556" s="34"/>
    </row>
    <row r="557" spans="1:1" ht="14.25" customHeight="1" x14ac:dyDescent="0.3">
      <c r="A557" s="34"/>
    </row>
    <row r="558" spans="1:1" ht="14.25" customHeight="1" x14ac:dyDescent="0.3">
      <c r="A558" s="34"/>
    </row>
    <row r="559" spans="1:1" ht="14.25" customHeight="1" x14ac:dyDescent="0.3">
      <c r="A559" s="34"/>
    </row>
    <row r="560" spans="1:1" ht="14.25" customHeight="1" x14ac:dyDescent="0.3">
      <c r="A560" s="34"/>
    </row>
    <row r="561" spans="1:1" ht="14.25" customHeight="1" x14ac:dyDescent="0.3">
      <c r="A561" s="34"/>
    </row>
    <row r="562" spans="1:1" ht="14.25" customHeight="1" x14ac:dyDescent="0.3">
      <c r="A562" s="34"/>
    </row>
    <row r="563" spans="1:1" ht="14.25" customHeight="1" x14ac:dyDescent="0.3">
      <c r="A563" s="34"/>
    </row>
    <row r="564" spans="1:1" ht="14.25" customHeight="1" x14ac:dyDescent="0.3">
      <c r="A564" s="34"/>
    </row>
    <row r="565" spans="1:1" ht="14.25" customHeight="1" x14ac:dyDescent="0.3">
      <c r="A565" s="34"/>
    </row>
    <row r="566" spans="1:1" ht="14.25" customHeight="1" x14ac:dyDescent="0.3">
      <c r="A566" s="34"/>
    </row>
    <row r="567" spans="1:1" ht="14.25" customHeight="1" x14ac:dyDescent="0.3">
      <c r="A567" s="34"/>
    </row>
    <row r="568" spans="1:1" ht="14.25" customHeight="1" x14ac:dyDescent="0.3">
      <c r="A568" s="34"/>
    </row>
    <row r="569" spans="1:1" ht="14.25" customHeight="1" x14ac:dyDescent="0.3">
      <c r="A569" s="34"/>
    </row>
    <row r="570" spans="1:1" ht="14.25" customHeight="1" x14ac:dyDescent="0.3">
      <c r="A570" s="34"/>
    </row>
    <row r="571" spans="1:1" ht="14.25" customHeight="1" x14ac:dyDescent="0.3">
      <c r="A571" s="34"/>
    </row>
    <row r="572" spans="1:1" ht="14.25" customHeight="1" x14ac:dyDescent="0.3">
      <c r="A572" s="34"/>
    </row>
    <row r="573" spans="1:1" ht="14.25" customHeight="1" x14ac:dyDescent="0.3">
      <c r="A573" s="34"/>
    </row>
    <row r="574" spans="1:1" ht="14.25" customHeight="1" x14ac:dyDescent="0.3">
      <c r="A574" s="34"/>
    </row>
    <row r="575" spans="1:1" ht="14.25" customHeight="1" x14ac:dyDescent="0.3">
      <c r="A575" s="34"/>
    </row>
    <row r="576" spans="1:1" ht="14.25" customHeight="1" x14ac:dyDescent="0.3">
      <c r="A576" s="34"/>
    </row>
    <row r="577" spans="1:1" ht="14.25" customHeight="1" x14ac:dyDescent="0.3">
      <c r="A577" s="34"/>
    </row>
    <row r="578" spans="1:1" ht="14.25" customHeight="1" x14ac:dyDescent="0.3">
      <c r="A578" s="34"/>
    </row>
    <row r="579" spans="1:1" ht="14.25" customHeight="1" x14ac:dyDescent="0.3">
      <c r="A579" s="34"/>
    </row>
    <row r="580" spans="1:1" ht="14.25" customHeight="1" x14ac:dyDescent="0.3">
      <c r="A580" s="34"/>
    </row>
    <row r="581" spans="1:1" ht="14.25" customHeight="1" x14ac:dyDescent="0.3">
      <c r="A581" s="34"/>
    </row>
    <row r="582" spans="1:1" ht="14.25" customHeight="1" x14ac:dyDescent="0.3">
      <c r="A582" s="34"/>
    </row>
    <row r="583" spans="1:1" ht="14.25" customHeight="1" x14ac:dyDescent="0.3">
      <c r="A583" s="34"/>
    </row>
    <row r="584" spans="1:1" ht="14.25" customHeight="1" x14ac:dyDescent="0.3">
      <c r="A584" s="34"/>
    </row>
    <row r="585" spans="1:1" ht="14.25" customHeight="1" x14ac:dyDescent="0.3">
      <c r="A585" s="34"/>
    </row>
    <row r="586" spans="1:1" ht="14.25" customHeight="1" x14ac:dyDescent="0.3">
      <c r="A586" s="34"/>
    </row>
    <row r="587" spans="1:1" ht="14.25" customHeight="1" x14ac:dyDescent="0.3">
      <c r="A587" s="34"/>
    </row>
    <row r="588" spans="1:1" ht="14.25" customHeight="1" x14ac:dyDescent="0.3">
      <c r="A588" s="34"/>
    </row>
    <row r="589" spans="1:1" ht="14.25" customHeight="1" x14ac:dyDescent="0.3">
      <c r="A589" s="34"/>
    </row>
    <row r="590" spans="1:1" ht="14.25" customHeight="1" x14ac:dyDescent="0.3">
      <c r="A590" s="34"/>
    </row>
    <row r="591" spans="1:1" ht="14.25" customHeight="1" x14ac:dyDescent="0.3">
      <c r="A591" s="34"/>
    </row>
    <row r="592" spans="1:1" ht="14.25" customHeight="1" x14ac:dyDescent="0.3">
      <c r="A592" s="34"/>
    </row>
    <row r="593" spans="1:1" ht="14.25" customHeight="1" x14ac:dyDescent="0.3">
      <c r="A593" s="34"/>
    </row>
    <row r="594" spans="1:1" ht="14.25" customHeight="1" x14ac:dyDescent="0.3">
      <c r="A594" s="34"/>
    </row>
    <row r="595" spans="1:1" ht="14.25" customHeight="1" x14ac:dyDescent="0.3">
      <c r="A595" s="34"/>
    </row>
    <row r="596" spans="1:1" ht="14.25" customHeight="1" x14ac:dyDescent="0.3">
      <c r="A596" s="34"/>
    </row>
    <row r="597" spans="1:1" ht="14.25" customHeight="1" x14ac:dyDescent="0.3">
      <c r="A597" s="34"/>
    </row>
    <row r="598" spans="1:1" ht="14.25" customHeight="1" x14ac:dyDescent="0.3">
      <c r="A598" s="34"/>
    </row>
    <row r="599" spans="1:1" ht="14.25" customHeight="1" x14ac:dyDescent="0.3">
      <c r="A599" s="34"/>
    </row>
    <row r="600" spans="1:1" ht="14.25" customHeight="1" x14ac:dyDescent="0.3">
      <c r="A600" s="34"/>
    </row>
    <row r="601" spans="1:1" ht="14.25" customHeight="1" x14ac:dyDescent="0.3">
      <c r="A601" s="34"/>
    </row>
    <row r="602" spans="1:1" ht="14.25" customHeight="1" x14ac:dyDescent="0.3">
      <c r="A602" s="34"/>
    </row>
    <row r="603" spans="1:1" ht="14.25" customHeight="1" x14ac:dyDescent="0.3">
      <c r="A603" s="34"/>
    </row>
    <row r="604" spans="1:1" ht="14.25" customHeight="1" x14ac:dyDescent="0.3">
      <c r="A604" s="34"/>
    </row>
    <row r="605" spans="1:1" ht="14.25" customHeight="1" x14ac:dyDescent="0.3">
      <c r="A605" s="34"/>
    </row>
    <row r="606" spans="1:1" ht="14.25" customHeight="1" x14ac:dyDescent="0.3">
      <c r="A606" s="34"/>
    </row>
    <row r="607" spans="1:1" ht="14.25" customHeight="1" x14ac:dyDescent="0.3">
      <c r="A607" s="34"/>
    </row>
    <row r="608" spans="1:1" ht="14.25" customHeight="1" x14ac:dyDescent="0.3">
      <c r="A608" s="34"/>
    </row>
    <row r="609" spans="1:1" ht="14.25" customHeight="1" x14ac:dyDescent="0.3">
      <c r="A609" s="34"/>
    </row>
    <row r="610" spans="1:1" ht="14.25" customHeight="1" x14ac:dyDescent="0.3">
      <c r="A610" s="34"/>
    </row>
    <row r="611" spans="1:1" ht="14.25" customHeight="1" x14ac:dyDescent="0.3">
      <c r="A611" s="34"/>
    </row>
    <row r="612" spans="1:1" ht="14.25" customHeight="1" x14ac:dyDescent="0.3">
      <c r="A612" s="34"/>
    </row>
    <row r="613" spans="1:1" ht="14.25" customHeight="1" x14ac:dyDescent="0.3">
      <c r="A613" s="34"/>
    </row>
    <row r="614" spans="1:1" ht="14.25" customHeight="1" x14ac:dyDescent="0.3">
      <c r="A614" s="34"/>
    </row>
    <row r="615" spans="1:1" ht="14.25" customHeight="1" x14ac:dyDescent="0.3">
      <c r="A615" s="34"/>
    </row>
    <row r="616" spans="1:1" ht="14.25" customHeight="1" x14ac:dyDescent="0.3">
      <c r="A616" s="34"/>
    </row>
    <row r="617" spans="1:1" ht="14.25" customHeight="1" x14ac:dyDescent="0.3">
      <c r="A617" s="34"/>
    </row>
    <row r="618" spans="1:1" ht="14.25" customHeight="1" x14ac:dyDescent="0.3">
      <c r="A618" s="34"/>
    </row>
    <row r="619" spans="1:1" ht="14.25" customHeight="1" x14ac:dyDescent="0.3">
      <c r="A619" s="34"/>
    </row>
    <row r="620" spans="1:1" ht="14.25" customHeight="1" x14ac:dyDescent="0.3">
      <c r="A620" s="34"/>
    </row>
    <row r="621" spans="1:1" ht="14.25" customHeight="1" x14ac:dyDescent="0.3">
      <c r="A621" s="34"/>
    </row>
    <row r="622" spans="1:1" ht="14.25" customHeight="1" x14ac:dyDescent="0.3">
      <c r="A622" s="34"/>
    </row>
    <row r="623" spans="1:1" ht="14.25" customHeight="1" x14ac:dyDescent="0.3">
      <c r="A623" s="34"/>
    </row>
    <row r="624" spans="1:1" ht="14.25" customHeight="1" x14ac:dyDescent="0.3">
      <c r="A624" s="34"/>
    </row>
    <row r="625" spans="1:1" ht="14.25" customHeight="1" x14ac:dyDescent="0.3">
      <c r="A625" s="34"/>
    </row>
    <row r="626" spans="1:1" ht="14.25" customHeight="1" x14ac:dyDescent="0.3">
      <c r="A626" s="34"/>
    </row>
    <row r="627" spans="1:1" ht="14.25" customHeight="1" x14ac:dyDescent="0.3">
      <c r="A627" s="34"/>
    </row>
    <row r="628" spans="1:1" ht="14.25" customHeight="1" x14ac:dyDescent="0.3">
      <c r="A628" s="34"/>
    </row>
    <row r="629" spans="1:1" ht="14.25" customHeight="1" x14ac:dyDescent="0.3">
      <c r="A629" s="34"/>
    </row>
    <row r="630" spans="1:1" ht="14.25" customHeight="1" x14ac:dyDescent="0.3">
      <c r="A630" s="34"/>
    </row>
    <row r="631" spans="1:1" ht="14.25" customHeight="1" x14ac:dyDescent="0.3">
      <c r="A631" s="34"/>
    </row>
    <row r="632" spans="1:1" ht="14.25" customHeight="1" x14ac:dyDescent="0.3">
      <c r="A632" s="34"/>
    </row>
    <row r="633" spans="1:1" ht="14.25" customHeight="1" x14ac:dyDescent="0.3">
      <c r="A633" s="34"/>
    </row>
    <row r="634" spans="1:1" ht="14.25" customHeight="1" x14ac:dyDescent="0.3">
      <c r="A634" s="34"/>
    </row>
    <row r="635" spans="1:1" ht="14.25" customHeight="1" x14ac:dyDescent="0.3">
      <c r="A635" s="34"/>
    </row>
    <row r="636" spans="1:1" ht="14.25" customHeight="1" x14ac:dyDescent="0.3">
      <c r="A636" s="34"/>
    </row>
    <row r="637" spans="1:1" ht="14.25" customHeight="1" x14ac:dyDescent="0.3">
      <c r="A637" s="34"/>
    </row>
    <row r="638" spans="1:1" ht="14.25" customHeight="1" x14ac:dyDescent="0.3">
      <c r="A638" s="34"/>
    </row>
    <row r="639" spans="1:1" ht="14.25" customHeight="1" x14ac:dyDescent="0.3">
      <c r="A639" s="34"/>
    </row>
    <row r="640" spans="1:1" ht="14.25" customHeight="1" x14ac:dyDescent="0.3">
      <c r="A640" s="34"/>
    </row>
    <row r="641" spans="1:1" ht="14.25" customHeight="1" x14ac:dyDescent="0.3">
      <c r="A641" s="34"/>
    </row>
    <row r="642" spans="1:1" ht="14.25" customHeight="1" x14ac:dyDescent="0.3">
      <c r="A642" s="34"/>
    </row>
    <row r="643" spans="1:1" ht="14.25" customHeight="1" x14ac:dyDescent="0.3">
      <c r="A643" s="34"/>
    </row>
    <row r="644" spans="1:1" ht="14.25" customHeight="1" x14ac:dyDescent="0.3">
      <c r="A644" s="34"/>
    </row>
    <row r="645" spans="1:1" ht="14.25" customHeight="1" x14ac:dyDescent="0.3">
      <c r="A645" s="34"/>
    </row>
    <row r="646" spans="1:1" ht="14.25" customHeight="1" x14ac:dyDescent="0.3">
      <c r="A646" s="34"/>
    </row>
    <row r="647" spans="1:1" ht="14.25" customHeight="1" x14ac:dyDescent="0.3">
      <c r="A647" s="34"/>
    </row>
    <row r="648" spans="1:1" ht="14.25" customHeight="1" x14ac:dyDescent="0.3">
      <c r="A648" s="34"/>
    </row>
    <row r="649" spans="1:1" ht="14.25" customHeight="1" x14ac:dyDescent="0.3">
      <c r="A649" s="34"/>
    </row>
    <row r="650" spans="1:1" ht="14.25" customHeight="1" x14ac:dyDescent="0.3">
      <c r="A650" s="34"/>
    </row>
    <row r="651" spans="1:1" ht="14.25" customHeight="1" x14ac:dyDescent="0.3">
      <c r="A651" s="34"/>
    </row>
    <row r="652" spans="1:1" ht="14.25" customHeight="1" x14ac:dyDescent="0.3">
      <c r="A652" s="34"/>
    </row>
    <row r="653" spans="1:1" ht="14.25" customHeight="1" x14ac:dyDescent="0.3">
      <c r="A653" s="34"/>
    </row>
    <row r="654" spans="1:1" ht="14.25" customHeight="1" x14ac:dyDescent="0.3">
      <c r="A654" s="34"/>
    </row>
    <row r="655" spans="1:1" ht="14.25" customHeight="1" x14ac:dyDescent="0.3">
      <c r="A655" s="34"/>
    </row>
    <row r="656" spans="1:1" ht="14.25" customHeight="1" x14ac:dyDescent="0.3">
      <c r="A656" s="34"/>
    </row>
    <row r="657" spans="1:1" ht="14.25" customHeight="1" x14ac:dyDescent="0.3">
      <c r="A657" s="34"/>
    </row>
    <row r="658" spans="1:1" ht="14.25" customHeight="1" x14ac:dyDescent="0.3">
      <c r="A658" s="34"/>
    </row>
    <row r="659" spans="1:1" ht="14.25" customHeight="1" x14ac:dyDescent="0.3">
      <c r="A659" s="34"/>
    </row>
    <row r="660" spans="1:1" ht="14.25" customHeight="1" x14ac:dyDescent="0.3">
      <c r="A660" s="34"/>
    </row>
    <row r="661" spans="1:1" ht="14.25" customHeight="1" x14ac:dyDescent="0.3">
      <c r="A661" s="34"/>
    </row>
    <row r="662" spans="1:1" ht="14.25" customHeight="1" x14ac:dyDescent="0.3">
      <c r="A662" s="34"/>
    </row>
    <row r="663" spans="1:1" ht="14.25" customHeight="1" x14ac:dyDescent="0.3">
      <c r="A663" s="34"/>
    </row>
    <row r="664" spans="1:1" ht="14.25" customHeight="1" x14ac:dyDescent="0.3">
      <c r="A664" s="34"/>
    </row>
    <row r="665" spans="1:1" ht="14.25" customHeight="1" x14ac:dyDescent="0.3">
      <c r="A665" s="34"/>
    </row>
    <row r="666" spans="1:1" ht="14.25" customHeight="1" x14ac:dyDescent="0.3">
      <c r="A666" s="34"/>
    </row>
    <row r="667" spans="1:1" ht="14.25" customHeight="1" x14ac:dyDescent="0.3">
      <c r="A667" s="34"/>
    </row>
    <row r="668" spans="1:1" ht="14.25" customHeight="1" x14ac:dyDescent="0.3">
      <c r="A668" s="34"/>
    </row>
    <row r="669" spans="1:1" ht="14.25" customHeight="1" x14ac:dyDescent="0.3">
      <c r="A669" s="34"/>
    </row>
    <row r="670" spans="1:1" ht="14.25" customHeight="1" x14ac:dyDescent="0.3">
      <c r="A670" s="34"/>
    </row>
    <row r="671" spans="1:1" ht="14.25" customHeight="1" x14ac:dyDescent="0.3">
      <c r="A671" s="34"/>
    </row>
    <row r="672" spans="1:1" ht="14.25" customHeight="1" x14ac:dyDescent="0.3">
      <c r="A672" s="34"/>
    </row>
    <row r="673" spans="1:1" ht="14.25" customHeight="1" x14ac:dyDescent="0.3">
      <c r="A673" s="34"/>
    </row>
    <row r="674" spans="1:1" ht="14.25" customHeight="1" x14ac:dyDescent="0.3">
      <c r="A674" s="34"/>
    </row>
    <row r="675" spans="1:1" ht="14.25" customHeight="1" x14ac:dyDescent="0.3">
      <c r="A675" s="34"/>
    </row>
    <row r="676" spans="1:1" ht="14.25" customHeight="1" x14ac:dyDescent="0.3">
      <c r="A676" s="34"/>
    </row>
    <row r="677" spans="1:1" ht="14.25" customHeight="1" x14ac:dyDescent="0.3">
      <c r="A677" s="34"/>
    </row>
    <row r="678" spans="1:1" ht="14.25" customHeight="1" x14ac:dyDescent="0.3">
      <c r="A678" s="34"/>
    </row>
    <row r="679" spans="1:1" ht="14.25" customHeight="1" x14ac:dyDescent="0.3">
      <c r="A679" s="34"/>
    </row>
    <row r="680" spans="1:1" ht="14.25" customHeight="1" x14ac:dyDescent="0.3">
      <c r="A680" s="34"/>
    </row>
    <row r="681" spans="1:1" ht="14.25" customHeight="1" x14ac:dyDescent="0.3">
      <c r="A681" s="34"/>
    </row>
    <row r="682" spans="1:1" ht="14.25" customHeight="1" x14ac:dyDescent="0.3">
      <c r="A682" s="34"/>
    </row>
    <row r="683" spans="1:1" ht="14.25" customHeight="1" x14ac:dyDescent="0.3">
      <c r="A683" s="34"/>
    </row>
    <row r="684" spans="1:1" ht="14.25" customHeight="1" x14ac:dyDescent="0.3">
      <c r="A684" s="34"/>
    </row>
    <row r="685" spans="1:1" ht="14.25" customHeight="1" x14ac:dyDescent="0.3">
      <c r="A685" s="34"/>
    </row>
    <row r="686" spans="1:1" ht="14.25" customHeight="1" x14ac:dyDescent="0.3">
      <c r="A686" s="34"/>
    </row>
    <row r="687" spans="1:1" ht="14.25" customHeight="1" x14ac:dyDescent="0.3">
      <c r="A687" s="34"/>
    </row>
    <row r="688" spans="1:1" ht="14.25" customHeight="1" x14ac:dyDescent="0.3">
      <c r="A688" s="34"/>
    </row>
    <row r="689" spans="1:1" ht="14.25" customHeight="1" x14ac:dyDescent="0.3">
      <c r="A689" s="34"/>
    </row>
    <row r="690" spans="1:1" ht="14.25" customHeight="1" x14ac:dyDescent="0.3">
      <c r="A690" s="34"/>
    </row>
    <row r="691" spans="1:1" ht="14.25" customHeight="1" x14ac:dyDescent="0.3">
      <c r="A691" s="34"/>
    </row>
    <row r="692" spans="1:1" ht="14.25" customHeight="1" x14ac:dyDescent="0.3">
      <c r="A692" s="34"/>
    </row>
    <row r="693" spans="1:1" ht="14.25" customHeight="1" x14ac:dyDescent="0.3">
      <c r="A693" s="34"/>
    </row>
    <row r="694" spans="1:1" ht="14.25" customHeight="1" x14ac:dyDescent="0.3">
      <c r="A694" s="34"/>
    </row>
    <row r="695" spans="1:1" ht="14.25" customHeight="1" x14ac:dyDescent="0.3">
      <c r="A695" s="34"/>
    </row>
    <row r="696" spans="1:1" ht="14.25" customHeight="1" x14ac:dyDescent="0.3">
      <c r="A696" s="34"/>
    </row>
    <row r="697" spans="1:1" ht="14.25" customHeight="1" x14ac:dyDescent="0.3">
      <c r="A697" s="34"/>
    </row>
    <row r="698" spans="1:1" ht="14.25" customHeight="1" x14ac:dyDescent="0.3">
      <c r="A698" s="34"/>
    </row>
    <row r="699" spans="1:1" ht="14.25" customHeight="1" x14ac:dyDescent="0.3">
      <c r="A699" s="34"/>
    </row>
    <row r="700" spans="1:1" ht="14.25" customHeight="1" x14ac:dyDescent="0.3">
      <c r="A700" s="34"/>
    </row>
    <row r="701" spans="1:1" ht="14.25" customHeight="1" x14ac:dyDescent="0.3">
      <c r="A701" s="34"/>
    </row>
    <row r="702" spans="1:1" ht="14.25" customHeight="1" x14ac:dyDescent="0.3">
      <c r="A702" s="34"/>
    </row>
    <row r="703" spans="1:1" ht="14.25" customHeight="1" x14ac:dyDescent="0.3">
      <c r="A703" s="34"/>
    </row>
    <row r="704" spans="1:1" ht="14.25" customHeight="1" x14ac:dyDescent="0.3">
      <c r="A704" s="34"/>
    </row>
    <row r="705" spans="1:1" ht="14.25" customHeight="1" x14ac:dyDescent="0.3">
      <c r="A705" s="34"/>
    </row>
    <row r="706" spans="1:1" ht="14.25" customHeight="1" x14ac:dyDescent="0.3">
      <c r="A706" s="34"/>
    </row>
    <row r="707" spans="1:1" ht="14.25" customHeight="1" x14ac:dyDescent="0.3">
      <c r="A707" s="34"/>
    </row>
    <row r="708" spans="1:1" ht="14.25" customHeight="1" x14ac:dyDescent="0.3">
      <c r="A708" s="34"/>
    </row>
    <row r="709" spans="1:1" ht="14.25" customHeight="1" x14ac:dyDescent="0.3">
      <c r="A709" s="34"/>
    </row>
    <row r="710" spans="1:1" ht="14.25" customHeight="1" x14ac:dyDescent="0.3">
      <c r="A710" s="34"/>
    </row>
    <row r="711" spans="1:1" ht="14.25" customHeight="1" x14ac:dyDescent="0.3">
      <c r="A711" s="34"/>
    </row>
    <row r="712" spans="1:1" ht="14.25" customHeight="1" x14ac:dyDescent="0.3">
      <c r="A712" s="34"/>
    </row>
    <row r="713" spans="1:1" ht="14.25" customHeight="1" x14ac:dyDescent="0.3">
      <c r="A713" s="34"/>
    </row>
    <row r="714" spans="1:1" ht="14.25" customHeight="1" x14ac:dyDescent="0.3">
      <c r="A714" s="34"/>
    </row>
    <row r="715" spans="1:1" ht="14.25" customHeight="1" x14ac:dyDescent="0.3">
      <c r="A715" s="34"/>
    </row>
    <row r="716" spans="1:1" ht="14.25" customHeight="1" x14ac:dyDescent="0.3">
      <c r="A716" s="34"/>
    </row>
    <row r="717" spans="1:1" ht="14.25" customHeight="1" x14ac:dyDescent="0.3">
      <c r="A717" s="34"/>
    </row>
    <row r="718" spans="1:1" ht="14.25" customHeight="1" x14ac:dyDescent="0.3">
      <c r="A718" s="34"/>
    </row>
    <row r="719" spans="1:1" ht="14.25" customHeight="1" x14ac:dyDescent="0.3">
      <c r="A719" s="34"/>
    </row>
    <row r="720" spans="1:1" ht="14.25" customHeight="1" x14ac:dyDescent="0.3">
      <c r="A720" s="34"/>
    </row>
    <row r="721" spans="1:1" ht="14.25" customHeight="1" x14ac:dyDescent="0.3">
      <c r="A721" s="34"/>
    </row>
    <row r="722" spans="1:1" ht="14.25" customHeight="1" x14ac:dyDescent="0.3">
      <c r="A722" s="34"/>
    </row>
    <row r="723" spans="1:1" ht="14.25" customHeight="1" x14ac:dyDescent="0.3">
      <c r="A723" s="34"/>
    </row>
    <row r="724" spans="1:1" ht="14.25" customHeight="1" x14ac:dyDescent="0.3">
      <c r="A724" s="34"/>
    </row>
    <row r="725" spans="1:1" ht="14.25" customHeight="1" x14ac:dyDescent="0.3">
      <c r="A725" s="34"/>
    </row>
    <row r="726" spans="1:1" ht="14.25" customHeight="1" x14ac:dyDescent="0.3">
      <c r="A726" s="34"/>
    </row>
    <row r="727" spans="1:1" ht="14.25" customHeight="1" x14ac:dyDescent="0.3">
      <c r="A727" s="34"/>
    </row>
    <row r="728" spans="1:1" ht="14.25" customHeight="1" x14ac:dyDescent="0.3">
      <c r="A728" s="34"/>
    </row>
    <row r="729" spans="1:1" ht="14.25" customHeight="1" x14ac:dyDescent="0.3">
      <c r="A729" s="34"/>
    </row>
    <row r="730" spans="1:1" ht="14.25" customHeight="1" x14ac:dyDescent="0.3">
      <c r="A730" s="34"/>
    </row>
    <row r="731" spans="1:1" ht="14.25" customHeight="1" x14ac:dyDescent="0.3">
      <c r="A731" s="34"/>
    </row>
    <row r="732" spans="1:1" ht="14.25" customHeight="1" x14ac:dyDescent="0.3">
      <c r="A732" s="34"/>
    </row>
    <row r="733" spans="1:1" ht="14.25" customHeight="1" x14ac:dyDescent="0.3">
      <c r="A733" s="34"/>
    </row>
    <row r="734" spans="1:1" ht="14.25" customHeight="1" x14ac:dyDescent="0.3">
      <c r="A734" s="34"/>
    </row>
    <row r="735" spans="1:1" ht="14.25" customHeight="1" x14ac:dyDescent="0.3">
      <c r="A735" s="34"/>
    </row>
    <row r="736" spans="1:1" ht="14.25" customHeight="1" x14ac:dyDescent="0.3">
      <c r="A736" s="34"/>
    </row>
    <row r="737" spans="1:1" ht="14.25" customHeight="1" x14ac:dyDescent="0.3">
      <c r="A737" s="34"/>
    </row>
    <row r="738" spans="1:1" ht="14.25" customHeight="1" x14ac:dyDescent="0.3">
      <c r="A738" s="34"/>
    </row>
    <row r="739" spans="1:1" ht="14.25" customHeight="1" x14ac:dyDescent="0.3">
      <c r="A739" s="34"/>
    </row>
    <row r="740" spans="1:1" ht="14.25" customHeight="1" x14ac:dyDescent="0.3">
      <c r="A740" s="34"/>
    </row>
    <row r="741" spans="1:1" ht="14.25" customHeight="1" x14ac:dyDescent="0.3">
      <c r="A741" s="34"/>
    </row>
    <row r="742" spans="1:1" ht="14.25" customHeight="1" x14ac:dyDescent="0.3">
      <c r="A742" s="34"/>
    </row>
    <row r="743" spans="1:1" ht="14.25" customHeight="1" x14ac:dyDescent="0.3">
      <c r="A743" s="34"/>
    </row>
    <row r="744" spans="1:1" ht="14.25" customHeight="1" x14ac:dyDescent="0.3">
      <c r="A744" s="34"/>
    </row>
    <row r="745" spans="1:1" ht="14.25" customHeight="1" x14ac:dyDescent="0.3">
      <c r="A745" s="34"/>
    </row>
    <row r="746" spans="1:1" ht="14.25" customHeight="1" x14ac:dyDescent="0.3">
      <c r="A746" s="34"/>
    </row>
    <row r="747" spans="1:1" ht="14.25" customHeight="1" x14ac:dyDescent="0.3">
      <c r="A747" s="34"/>
    </row>
    <row r="748" spans="1:1" ht="14.25" customHeight="1" x14ac:dyDescent="0.3">
      <c r="A748" s="34"/>
    </row>
    <row r="749" spans="1:1" ht="14.25" customHeight="1" x14ac:dyDescent="0.3">
      <c r="A749" s="34"/>
    </row>
    <row r="750" spans="1:1" ht="14.25" customHeight="1" x14ac:dyDescent="0.3">
      <c r="A750" s="34"/>
    </row>
    <row r="751" spans="1:1" ht="14.25" customHeight="1" x14ac:dyDescent="0.3">
      <c r="A751" s="34"/>
    </row>
    <row r="752" spans="1:1" ht="14.25" customHeight="1" x14ac:dyDescent="0.3">
      <c r="A752" s="34"/>
    </row>
    <row r="753" spans="1:1" ht="14.25" customHeight="1" x14ac:dyDescent="0.3">
      <c r="A753" s="34"/>
    </row>
    <row r="754" spans="1:1" ht="14.25" customHeight="1" x14ac:dyDescent="0.3">
      <c r="A754" s="34"/>
    </row>
    <row r="755" spans="1:1" ht="14.25" customHeight="1" x14ac:dyDescent="0.3">
      <c r="A755" s="34"/>
    </row>
    <row r="756" spans="1:1" ht="14.25" customHeight="1" x14ac:dyDescent="0.3">
      <c r="A756" s="34"/>
    </row>
    <row r="757" spans="1:1" ht="14.25" customHeight="1" x14ac:dyDescent="0.3">
      <c r="A757" s="34"/>
    </row>
    <row r="758" spans="1:1" ht="14.25" customHeight="1" x14ac:dyDescent="0.3">
      <c r="A758" s="34"/>
    </row>
    <row r="759" spans="1:1" ht="14.25" customHeight="1" x14ac:dyDescent="0.3">
      <c r="A759" s="34"/>
    </row>
    <row r="760" spans="1:1" ht="14.25" customHeight="1" x14ac:dyDescent="0.3">
      <c r="A760" s="34"/>
    </row>
    <row r="761" spans="1:1" ht="14.25" customHeight="1" x14ac:dyDescent="0.3">
      <c r="A761" s="34"/>
    </row>
    <row r="762" spans="1:1" ht="14.25" customHeight="1" x14ac:dyDescent="0.3">
      <c r="A762" s="34"/>
    </row>
    <row r="763" spans="1:1" ht="14.25" customHeight="1" x14ac:dyDescent="0.3">
      <c r="A763" s="34"/>
    </row>
    <row r="764" spans="1:1" ht="14.25" customHeight="1" x14ac:dyDescent="0.3">
      <c r="A764" s="34"/>
    </row>
    <row r="765" spans="1:1" ht="14.25" customHeight="1" x14ac:dyDescent="0.3">
      <c r="A765" s="34"/>
    </row>
    <row r="766" spans="1:1" ht="14.25" customHeight="1" x14ac:dyDescent="0.3">
      <c r="A766" s="34"/>
    </row>
    <row r="767" spans="1:1" ht="14.25" customHeight="1" x14ac:dyDescent="0.3">
      <c r="A767" s="34"/>
    </row>
    <row r="768" spans="1:1" ht="14.25" customHeight="1" x14ac:dyDescent="0.3">
      <c r="A768" s="34"/>
    </row>
    <row r="769" spans="1:1" ht="14.25" customHeight="1" x14ac:dyDescent="0.3">
      <c r="A769" s="34"/>
    </row>
    <row r="770" spans="1:1" ht="14.25" customHeight="1" x14ac:dyDescent="0.3">
      <c r="A770" s="34"/>
    </row>
    <row r="771" spans="1:1" ht="14.25" customHeight="1" x14ac:dyDescent="0.3">
      <c r="A771" s="34"/>
    </row>
    <row r="772" spans="1:1" ht="14.25" customHeight="1" x14ac:dyDescent="0.3">
      <c r="A772" s="34"/>
    </row>
    <row r="773" spans="1:1" ht="14.25" customHeight="1" x14ac:dyDescent="0.3">
      <c r="A773" s="34"/>
    </row>
    <row r="774" spans="1:1" ht="14.25" customHeight="1" x14ac:dyDescent="0.3">
      <c r="A774" s="34"/>
    </row>
    <row r="775" spans="1:1" ht="14.25" customHeight="1" x14ac:dyDescent="0.3">
      <c r="A775" s="34"/>
    </row>
    <row r="776" spans="1:1" ht="14.25" customHeight="1" x14ac:dyDescent="0.3">
      <c r="A776" s="34"/>
    </row>
    <row r="777" spans="1:1" ht="14.25" customHeight="1" x14ac:dyDescent="0.3">
      <c r="A777" s="34"/>
    </row>
    <row r="778" spans="1:1" ht="14.25" customHeight="1" x14ac:dyDescent="0.3">
      <c r="A778" s="34"/>
    </row>
    <row r="779" spans="1:1" ht="14.25" customHeight="1" x14ac:dyDescent="0.3">
      <c r="A779" s="34"/>
    </row>
    <row r="780" spans="1:1" ht="14.25" customHeight="1" x14ac:dyDescent="0.3">
      <c r="A780" s="34"/>
    </row>
    <row r="781" spans="1:1" ht="14.25" customHeight="1" x14ac:dyDescent="0.3">
      <c r="A781" s="34"/>
    </row>
    <row r="782" spans="1:1" ht="14.25" customHeight="1" x14ac:dyDescent="0.3">
      <c r="A782" s="34"/>
    </row>
    <row r="783" spans="1:1" ht="14.25" customHeight="1" x14ac:dyDescent="0.3">
      <c r="A783" s="34"/>
    </row>
    <row r="784" spans="1:1" ht="14.25" customHeight="1" x14ac:dyDescent="0.3">
      <c r="A784" s="34"/>
    </row>
    <row r="785" spans="1:1" ht="14.25" customHeight="1" x14ac:dyDescent="0.3">
      <c r="A785" s="34"/>
    </row>
    <row r="786" spans="1:1" ht="14.25" customHeight="1" x14ac:dyDescent="0.3">
      <c r="A786" s="34"/>
    </row>
    <row r="787" spans="1:1" ht="14.25" customHeight="1" x14ac:dyDescent="0.3">
      <c r="A787" s="34"/>
    </row>
    <row r="788" spans="1:1" ht="14.25" customHeight="1" x14ac:dyDescent="0.3">
      <c r="A788" s="34"/>
    </row>
    <row r="789" spans="1:1" ht="14.25" customHeight="1" x14ac:dyDescent="0.3">
      <c r="A789" s="34"/>
    </row>
    <row r="790" spans="1:1" ht="14.25" customHeight="1" x14ac:dyDescent="0.3">
      <c r="A790" s="34"/>
    </row>
    <row r="791" spans="1:1" ht="14.25" customHeight="1" x14ac:dyDescent="0.3">
      <c r="A791" s="34"/>
    </row>
    <row r="792" spans="1:1" ht="14.25" customHeight="1" x14ac:dyDescent="0.3">
      <c r="A792" s="34"/>
    </row>
    <row r="793" spans="1:1" ht="14.25" customHeight="1" x14ac:dyDescent="0.3">
      <c r="A793" s="34"/>
    </row>
    <row r="794" spans="1:1" ht="14.25" customHeight="1" x14ac:dyDescent="0.3">
      <c r="A794" s="34"/>
    </row>
    <row r="795" spans="1:1" ht="14.25" customHeight="1" x14ac:dyDescent="0.3">
      <c r="A795" s="34"/>
    </row>
    <row r="796" spans="1:1" ht="14.25" customHeight="1" x14ac:dyDescent="0.3">
      <c r="A796" s="34"/>
    </row>
    <row r="797" spans="1:1" ht="14.25" customHeight="1" x14ac:dyDescent="0.3">
      <c r="A797" s="34"/>
    </row>
    <row r="798" spans="1:1" ht="14.25" customHeight="1" x14ac:dyDescent="0.3">
      <c r="A798" s="34"/>
    </row>
    <row r="799" spans="1:1" ht="14.25" customHeight="1" x14ac:dyDescent="0.3">
      <c r="A799" s="34"/>
    </row>
    <row r="800" spans="1:1" ht="14.25" customHeight="1" x14ac:dyDescent="0.3">
      <c r="A800" s="34"/>
    </row>
    <row r="801" spans="1:1" ht="14.25" customHeight="1" x14ac:dyDescent="0.3">
      <c r="A801" s="34"/>
    </row>
    <row r="802" spans="1:1" ht="14.25" customHeight="1" x14ac:dyDescent="0.3">
      <c r="A802" s="34"/>
    </row>
    <row r="803" spans="1:1" ht="14.25" customHeight="1" x14ac:dyDescent="0.3">
      <c r="A803" s="34"/>
    </row>
    <row r="804" spans="1:1" ht="14.25" customHeight="1" x14ac:dyDescent="0.3">
      <c r="A804" s="34"/>
    </row>
    <row r="805" spans="1:1" ht="14.25" customHeight="1" x14ac:dyDescent="0.3">
      <c r="A805" s="34"/>
    </row>
    <row r="806" spans="1:1" ht="14.25" customHeight="1" x14ac:dyDescent="0.3">
      <c r="A806" s="34"/>
    </row>
    <row r="807" spans="1:1" ht="14.25" customHeight="1" x14ac:dyDescent="0.3">
      <c r="A807" s="34"/>
    </row>
    <row r="808" spans="1:1" ht="14.25" customHeight="1" x14ac:dyDescent="0.3">
      <c r="A808" s="34"/>
    </row>
    <row r="809" spans="1:1" ht="14.25" customHeight="1" x14ac:dyDescent="0.3">
      <c r="A809" s="34"/>
    </row>
    <row r="810" spans="1:1" ht="14.25" customHeight="1" x14ac:dyDescent="0.3">
      <c r="A810" s="34"/>
    </row>
    <row r="811" spans="1:1" ht="14.25" customHeight="1" x14ac:dyDescent="0.3">
      <c r="A811" s="34"/>
    </row>
    <row r="812" spans="1:1" ht="14.25" customHeight="1" x14ac:dyDescent="0.3">
      <c r="A812" s="34"/>
    </row>
    <row r="813" spans="1:1" ht="14.25" customHeight="1" x14ac:dyDescent="0.3">
      <c r="A813" s="34"/>
    </row>
    <row r="814" spans="1:1" ht="14.25" customHeight="1" x14ac:dyDescent="0.3">
      <c r="A814" s="34"/>
    </row>
    <row r="815" spans="1:1" ht="14.25" customHeight="1" x14ac:dyDescent="0.3">
      <c r="A815" s="34"/>
    </row>
    <row r="816" spans="1:1" ht="14.25" customHeight="1" x14ac:dyDescent="0.3">
      <c r="A816" s="34"/>
    </row>
    <row r="817" spans="1:1" ht="14.25" customHeight="1" x14ac:dyDescent="0.3">
      <c r="A817" s="34"/>
    </row>
    <row r="818" spans="1:1" ht="14.25" customHeight="1" x14ac:dyDescent="0.3">
      <c r="A818" s="34"/>
    </row>
    <row r="819" spans="1:1" ht="14.25" customHeight="1" x14ac:dyDescent="0.3">
      <c r="A819" s="34"/>
    </row>
    <row r="820" spans="1:1" ht="14.25" customHeight="1" x14ac:dyDescent="0.3">
      <c r="A820" s="34"/>
    </row>
    <row r="821" spans="1:1" ht="14.25" customHeight="1" x14ac:dyDescent="0.3">
      <c r="A821" s="34"/>
    </row>
    <row r="822" spans="1:1" ht="14.25" customHeight="1" x14ac:dyDescent="0.3">
      <c r="A822" s="34"/>
    </row>
    <row r="823" spans="1:1" ht="14.25" customHeight="1" x14ac:dyDescent="0.3">
      <c r="A823" s="34"/>
    </row>
    <row r="824" spans="1:1" ht="14.25" customHeight="1" x14ac:dyDescent="0.3">
      <c r="A824" s="34"/>
    </row>
    <row r="825" spans="1:1" ht="14.25" customHeight="1" x14ac:dyDescent="0.3">
      <c r="A825" s="34"/>
    </row>
    <row r="826" spans="1:1" ht="14.25" customHeight="1" x14ac:dyDescent="0.3">
      <c r="A826" s="34"/>
    </row>
    <row r="827" spans="1:1" ht="14.25" customHeight="1" x14ac:dyDescent="0.3">
      <c r="A827" s="34"/>
    </row>
    <row r="828" spans="1:1" ht="14.25" customHeight="1" x14ac:dyDescent="0.3">
      <c r="A828" s="34"/>
    </row>
    <row r="829" spans="1:1" ht="14.25" customHeight="1" x14ac:dyDescent="0.3">
      <c r="A829" s="34"/>
    </row>
    <row r="830" spans="1:1" ht="14.25" customHeight="1" x14ac:dyDescent="0.3">
      <c r="A830" s="34"/>
    </row>
    <row r="831" spans="1:1" ht="14.25" customHeight="1" x14ac:dyDescent="0.3">
      <c r="A831" s="34"/>
    </row>
    <row r="832" spans="1:1" ht="14.25" customHeight="1" x14ac:dyDescent="0.3">
      <c r="A832" s="34"/>
    </row>
    <row r="833" spans="1:1" ht="14.25" customHeight="1" x14ac:dyDescent="0.3">
      <c r="A833" s="34"/>
    </row>
    <row r="834" spans="1:1" ht="14.25" customHeight="1" x14ac:dyDescent="0.3">
      <c r="A834" s="34"/>
    </row>
    <row r="835" spans="1:1" ht="14.25" customHeight="1" x14ac:dyDescent="0.3">
      <c r="A835" s="34"/>
    </row>
    <row r="836" spans="1:1" ht="14.25" customHeight="1" x14ac:dyDescent="0.3">
      <c r="A836" s="34"/>
    </row>
    <row r="837" spans="1:1" ht="14.25" customHeight="1" x14ac:dyDescent="0.3">
      <c r="A837" s="34"/>
    </row>
    <row r="838" spans="1:1" ht="14.25" customHeight="1" x14ac:dyDescent="0.3">
      <c r="A838" s="34"/>
    </row>
    <row r="839" spans="1:1" ht="14.25" customHeight="1" x14ac:dyDescent="0.3">
      <c r="A839" s="34"/>
    </row>
    <row r="840" spans="1:1" ht="14.25" customHeight="1" x14ac:dyDescent="0.3">
      <c r="A840" s="34"/>
    </row>
    <row r="841" spans="1:1" ht="14.25" customHeight="1" x14ac:dyDescent="0.3">
      <c r="A841" s="34"/>
    </row>
    <row r="842" spans="1:1" ht="14.25" customHeight="1" x14ac:dyDescent="0.3">
      <c r="A842" s="34"/>
    </row>
    <row r="843" spans="1:1" ht="14.25" customHeight="1" x14ac:dyDescent="0.3">
      <c r="A843" s="34"/>
    </row>
    <row r="844" spans="1:1" ht="14.25" customHeight="1" x14ac:dyDescent="0.3">
      <c r="A844" s="34"/>
    </row>
    <row r="845" spans="1:1" ht="14.25" customHeight="1" x14ac:dyDescent="0.3">
      <c r="A845" s="34"/>
    </row>
    <row r="846" spans="1:1" ht="14.25" customHeight="1" x14ac:dyDescent="0.3">
      <c r="A846" s="34"/>
    </row>
    <row r="847" spans="1:1" ht="14.25" customHeight="1" x14ac:dyDescent="0.3">
      <c r="A847" s="34"/>
    </row>
    <row r="848" spans="1:1" ht="14.25" customHeight="1" x14ac:dyDescent="0.3">
      <c r="A848" s="34"/>
    </row>
    <row r="849" spans="1:1" ht="14.25" customHeight="1" x14ac:dyDescent="0.3">
      <c r="A849" s="34"/>
    </row>
    <row r="850" spans="1:1" ht="14.25" customHeight="1" x14ac:dyDescent="0.3">
      <c r="A850" s="34"/>
    </row>
    <row r="851" spans="1:1" ht="14.25" customHeight="1" x14ac:dyDescent="0.3">
      <c r="A851" s="34"/>
    </row>
    <row r="852" spans="1:1" ht="14.25" customHeight="1" x14ac:dyDescent="0.3">
      <c r="A852" s="34"/>
    </row>
    <row r="853" spans="1:1" ht="14.25" customHeight="1" x14ac:dyDescent="0.3">
      <c r="A853" s="34"/>
    </row>
    <row r="854" spans="1:1" ht="14.25" customHeight="1" x14ac:dyDescent="0.3">
      <c r="A854" s="34"/>
    </row>
    <row r="855" spans="1:1" ht="14.25" customHeight="1" x14ac:dyDescent="0.3">
      <c r="A855" s="34"/>
    </row>
    <row r="856" spans="1:1" ht="14.25" customHeight="1" x14ac:dyDescent="0.3">
      <c r="A856" s="34"/>
    </row>
    <row r="857" spans="1:1" ht="14.25" customHeight="1" x14ac:dyDescent="0.3">
      <c r="A857" s="34"/>
    </row>
    <row r="858" spans="1:1" ht="14.25" customHeight="1" x14ac:dyDescent="0.3">
      <c r="A858" s="34"/>
    </row>
    <row r="859" spans="1:1" ht="14.25" customHeight="1" x14ac:dyDescent="0.3">
      <c r="A859" s="34"/>
    </row>
    <row r="860" spans="1:1" ht="14.25" customHeight="1" x14ac:dyDescent="0.3">
      <c r="A860" s="34"/>
    </row>
    <row r="861" spans="1:1" ht="14.25" customHeight="1" x14ac:dyDescent="0.3">
      <c r="A861" s="34"/>
    </row>
    <row r="862" spans="1:1" ht="14.25" customHeight="1" x14ac:dyDescent="0.3">
      <c r="A862" s="34"/>
    </row>
    <row r="863" spans="1:1" ht="14.25" customHeight="1" x14ac:dyDescent="0.3">
      <c r="A863" s="34"/>
    </row>
    <row r="864" spans="1:1" ht="14.25" customHeight="1" x14ac:dyDescent="0.3">
      <c r="A864" s="34"/>
    </row>
    <row r="865" spans="1:1" ht="14.25" customHeight="1" x14ac:dyDescent="0.3">
      <c r="A865" s="34"/>
    </row>
    <row r="866" spans="1:1" ht="14.25" customHeight="1" x14ac:dyDescent="0.3">
      <c r="A866" s="34"/>
    </row>
    <row r="867" spans="1:1" ht="14.25" customHeight="1" x14ac:dyDescent="0.3">
      <c r="A867" s="34"/>
    </row>
    <row r="868" spans="1:1" ht="14.25" customHeight="1" x14ac:dyDescent="0.3">
      <c r="A868" s="34"/>
    </row>
    <row r="869" spans="1:1" ht="14.25" customHeight="1" x14ac:dyDescent="0.3">
      <c r="A869" s="34"/>
    </row>
    <row r="870" spans="1:1" ht="14.25" customHeight="1" x14ac:dyDescent="0.3">
      <c r="A870" s="34"/>
    </row>
    <row r="871" spans="1:1" ht="14.25" customHeight="1" x14ac:dyDescent="0.3">
      <c r="A871" s="34"/>
    </row>
    <row r="872" spans="1:1" ht="14.25" customHeight="1" x14ac:dyDescent="0.3">
      <c r="A872" s="34"/>
    </row>
    <row r="873" spans="1:1" ht="14.25" customHeight="1" x14ac:dyDescent="0.3">
      <c r="A873" s="34"/>
    </row>
    <row r="874" spans="1:1" ht="14.25" customHeight="1" x14ac:dyDescent="0.3">
      <c r="A874" s="34"/>
    </row>
    <row r="875" spans="1:1" ht="14.25" customHeight="1" x14ac:dyDescent="0.3">
      <c r="A875" s="34"/>
    </row>
    <row r="876" spans="1:1" ht="14.25" customHeight="1" x14ac:dyDescent="0.3">
      <c r="A876" s="34"/>
    </row>
    <row r="877" spans="1:1" ht="14.25" customHeight="1" x14ac:dyDescent="0.3">
      <c r="A877" s="34"/>
    </row>
    <row r="878" spans="1:1" ht="14.25" customHeight="1" x14ac:dyDescent="0.3">
      <c r="A878" s="34"/>
    </row>
    <row r="879" spans="1:1" ht="14.25" customHeight="1" x14ac:dyDescent="0.3">
      <c r="A879" s="34"/>
    </row>
    <row r="880" spans="1:1" ht="14.25" customHeight="1" x14ac:dyDescent="0.3">
      <c r="A880" s="34"/>
    </row>
    <row r="881" spans="1:1" ht="14.25" customHeight="1" x14ac:dyDescent="0.3">
      <c r="A881" s="34"/>
    </row>
    <row r="882" spans="1:1" ht="14.25" customHeight="1" x14ac:dyDescent="0.3">
      <c r="A882" s="34"/>
    </row>
    <row r="883" spans="1:1" ht="14.25" customHeight="1" x14ac:dyDescent="0.3">
      <c r="A883" s="34"/>
    </row>
    <row r="884" spans="1:1" ht="14.25" customHeight="1" x14ac:dyDescent="0.3">
      <c r="A884" s="34"/>
    </row>
    <row r="885" spans="1:1" ht="14.25" customHeight="1" x14ac:dyDescent="0.3">
      <c r="A885" s="34"/>
    </row>
    <row r="886" spans="1:1" ht="14.25" customHeight="1" x14ac:dyDescent="0.3">
      <c r="A886" s="34"/>
    </row>
    <row r="887" spans="1:1" ht="14.25" customHeight="1" x14ac:dyDescent="0.3">
      <c r="A887" s="34"/>
    </row>
    <row r="888" spans="1:1" ht="14.25" customHeight="1" x14ac:dyDescent="0.3">
      <c r="A888" s="34"/>
    </row>
    <row r="889" spans="1:1" ht="14.25" customHeight="1" x14ac:dyDescent="0.3">
      <c r="A889" s="34"/>
    </row>
    <row r="890" spans="1:1" ht="14.25" customHeight="1" x14ac:dyDescent="0.3">
      <c r="A890" s="34"/>
    </row>
    <row r="891" spans="1:1" ht="14.25" customHeight="1" x14ac:dyDescent="0.3">
      <c r="A891" s="34"/>
    </row>
    <row r="892" spans="1:1" ht="14.25" customHeight="1" x14ac:dyDescent="0.3">
      <c r="A892" s="34"/>
    </row>
    <row r="893" spans="1:1" ht="14.25" customHeight="1" x14ac:dyDescent="0.3">
      <c r="A893" s="34"/>
    </row>
    <row r="894" spans="1:1" ht="14.25" customHeight="1" x14ac:dyDescent="0.3">
      <c r="A894" s="34"/>
    </row>
    <row r="895" spans="1:1" ht="14.25" customHeight="1" x14ac:dyDescent="0.3">
      <c r="A895" s="34"/>
    </row>
    <row r="896" spans="1:1" ht="14.25" customHeight="1" x14ac:dyDescent="0.3">
      <c r="A896" s="34"/>
    </row>
    <row r="897" spans="1:1" ht="14.25" customHeight="1" x14ac:dyDescent="0.3">
      <c r="A897" s="34"/>
    </row>
    <row r="898" spans="1:1" ht="14.25" customHeight="1" x14ac:dyDescent="0.3">
      <c r="A898" s="34"/>
    </row>
    <row r="899" spans="1:1" ht="14.25" customHeight="1" x14ac:dyDescent="0.3">
      <c r="A899" s="34"/>
    </row>
    <row r="900" spans="1:1" ht="14.25" customHeight="1" x14ac:dyDescent="0.3">
      <c r="A900" s="34"/>
    </row>
    <row r="901" spans="1:1" ht="14.25" customHeight="1" x14ac:dyDescent="0.3">
      <c r="A901" s="34"/>
    </row>
    <row r="902" spans="1:1" ht="14.25" customHeight="1" x14ac:dyDescent="0.3">
      <c r="A902" s="34"/>
    </row>
    <row r="903" spans="1:1" ht="14.25" customHeight="1" x14ac:dyDescent="0.3">
      <c r="A903" s="34"/>
    </row>
    <row r="904" spans="1:1" ht="14.25" customHeight="1" x14ac:dyDescent="0.3">
      <c r="A904" s="34"/>
    </row>
    <row r="905" spans="1:1" ht="14.25" customHeight="1" x14ac:dyDescent="0.3">
      <c r="A905" s="34"/>
    </row>
    <row r="906" spans="1:1" ht="14.25" customHeight="1" x14ac:dyDescent="0.3">
      <c r="A906" s="34"/>
    </row>
    <row r="907" spans="1:1" ht="14.25" customHeight="1" x14ac:dyDescent="0.3">
      <c r="A907" s="34"/>
    </row>
    <row r="908" spans="1:1" ht="14.25" customHeight="1" x14ac:dyDescent="0.3">
      <c r="A908" s="34"/>
    </row>
    <row r="909" spans="1:1" ht="14.25" customHeight="1" x14ac:dyDescent="0.3">
      <c r="A909" s="34"/>
    </row>
    <row r="910" spans="1:1" ht="14.25" customHeight="1" x14ac:dyDescent="0.3">
      <c r="A910" s="34"/>
    </row>
    <row r="911" spans="1:1" ht="14.25" customHeight="1" x14ac:dyDescent="0.3">
      <c r="A911" s="34"/>
    </row>
    <row r="912" spans="1:1" ht="14.25" customHeight="1" x14ac:dyDescent="0.3">
      <c r="A912" s="34"/>
    </row>
    <row r="913" spans="1:1" ht="14.25" customHeight="1" x14ac:dyDescent="0.3">
      <c r="A913" s="34"/>
    </row>
    <row r="914" spans="1:1" ht="14.25" customHeight="1" x14ac:dyDescent="0.3">
      <c r="A914" s="34"/>
    </row>
    <row r="915" spans="1:1" ht="14.25" customHeight="1" x14ac:dyDescent="0.3">
      <c r="A915" s="34"/>
    </row>
    <row r="916" spans="1:1" ht="14.25" customHeight="1" x14ac:dyDescent="0.3">
      <c r="A916" s="34"/>
    </row>
    <row r="917" spans="1:1" ht="14.25" customHeight="1" x14ac:dyDescent="0.3">
      <c r="A917" s="34"/>
    </row>
    <row r="918" spans="1:1" ht="14.25" customHeight="1" x14ac:dyDescent="0.3">
      <c r="A918" s="34"/>
    </row>
    <row r="919" spans="1:1" ht="14.25" customHeight="1" x14ac:dyDescent="0.3">
      <c r="A919" s="34"/>
    </row>
    <row r="920" spans="1:1" ht="14.25" customHeight="1" x14ac:dyDescent="0.3">
      <c r="A920" s="34"/>
    </row>
    <row r="921" spans="1:1" ht="14.25" customHeight="1" x14ac:dyDescent="0.3">
      <c r="A921" s="34"/>
    </row>
    <row r="922" spans="1:1" ht="14.25" customHeight="1" x14ac:dyDescent="0.3">
      <c r="A922" s="34"/>
    </row>
    <row r="923" spans="1:1" ht="14.25" customHeight="1" x14ac:dyDescent="0.3">
      <c r="A923" s="34"/>
    </row>
    <row r="924" spans="1:1" ht="14.25" customHeight="1" x14ac:dyDescent="0.3">
      <c r="A924" s="34"/>
    </row>
    <row r="925" spans="1:1" ht="14.25" customHeight="1" x14ac:dyDescent="0.3">
      <c r="A925" s="34"/>
    </row>
    <row r="926" spans="1:1" ht="14.25" customHeight="1" x14ac:dyDescent="0.3">
      <c r="A926" s="34"/>
    </row>
    <row r="927" spans="1:1" ht="14.25" customHeight="1" x14ac:dyDescent="0.3">
      <c r="A927" s="34"/>
    </row>
    <row r="928" spans="1:1" ht="14.25" customHeight="1" x14ac:dyDescent="0.3">
      <c r="A928" s="34"/>
    </row>
    <row r="929" spans="1:1" ht="14.25" customHeight="1" x14ac:dyDescent="0.3">
      <c r="A929" s="34"/>
    </row>
    <row r="930" spans="1:1" ht="14.25" customHeight="1" x14ac:dyDescent="0.3">
      <c r="A930" s="34"/>
    </row>
    <row r="931" spans="1:1" ht="14.25" customHeight="1" x14ac:dyDescent="0.3">
      <c r="A931" s="34"/>
    </row>
    <row r="932" spans="1:1" ht="14.25" customHeight="1" x14ac:dyDescent="0.3">
      <c r="A932" s="34"/>
    </row>
    <row r="933" spans="1:1" ht="14.25" customHeight="1" x14ac:dyDescent="0.3">
      <c r="A933" s="34"/>
    </row>
    <row r="934" spans="1:1" ht="14.25" customHeight="1" x14ac:dyDescent="0.3">
      <c r="A934" s="34"/>
    </row>
    <row r="935" spans="1:1" ht="14.25" customHeight="1" x14ac:dyDescent="0.3">
      <c r="A935" s="34"/>
    </row>
    <row r="936" spans="1:1" ht="14.25" customHeight="1" x14ac:dyDescent="0.3">
      <c r="A936" s="34"/>
    </row>
    <row r="937" spans="1:1" ht="14.25" customHeight="1" x14ac:dyDescent="0.3">
      <c r="A937" s="34"/>
    </row>
    <row r="938" spans="1:1" ht="14.25" customHeight="1" x14ac:dyDescent="0.3">
      <c r="A938" s="34"/>
    </row>
    <row r="939" spans="1:1" ht="14.25" customHeight="1" x14ac:dyDescent="0.3">
      <c r="A939" s="34"/>
    </row>
    <row r="940" spans="1:1" ht="14.25" customHeight="1" x14ac:dyDescent="0.3">
      <c r="A940" s="34"/>
    </row>
    <row r="941" spans="1:1" ht="14.25" customHeight="1" x14ac:dyDescent="0.3">
      <c r="A941" s="34"/>
    </row>
    <row r="942" spans="1:1" ht="14.25" customHeight="1" x14ac:dyDescent="0.3">
      <c r="A942" s="34"/>
    </row>
    <row r="943" spans="1:1" ht="14.25" customHeight="1" x14ac:dyDescent="0.3">
      <c r="A943" s="34"/>
    </row>
    <row r="944" spans="1:1" ht="14.25" customHeight="1" x14ac:dyDescent="0.3">
      <c r="A944" s="34"/>
    </row>
    <row r="945" spans="1:1" ht="14.25" customHeight="1" x14ac:dyDescent="0.3">
      <c r="A945" s="34"/>
    </row>
    <row r="946" spans="1:1" ht="14.25" customHeight="1" x14ac:dyDescent="0.3">
      <c r="A946" s="34"/>
    </row>
    <row r="947" spans="1:1" ht="14.25" customHeight="1" x14ac:dyDescent="0.3">
      <c r="A947" s="34"/>
    </row>
    <row r="948" spans="1:1" ht="14.25" customHeight="1" x14ac:dyDescent="0.3">
      <c r="A948" s="34"/>
    </row>
    <row r="949" spans="1:1" ht="14.25" customHeight="1" x14ac:dyDescent="0.3">
      <c r="A949" s="34"/>
    </row>
    <row r="950" spans="1:1" ht="14.25" customHeight="1" x14ac:dyDescent="0.3">
      <c r="A950" s="34"/>
    </row>
    <row r="951" spans="1:1" ht="14.25" customHeight="1" x14ac:dyDescent="0.3">
      <c r="A951" s="34"/>
    </row>
    <row r="952" spans="1:1" ht="14.25" customHeight="1" x14ac:dyDescent="0.3">
      <c r="A952" s="34"/>
    </row>
    <row r="953" spans="1:1" ht="14.25" customHeight="1" x14ac:dyDescent="0.3">
      <c r="A953" s="34"/>
    </row>
    <row r="954" spans="1:1" ht="14.25" customHeight="1" x14ac:dyDescent="0.3">
      <c r="A954" s="34"/>
    </row>
    <row r="955" spans="1:1" ht="14.25" customHeight="1" x14ac:dyDescent="0.3">
      <c r="A955" s="34"/>
    </row>
    <row r="956" spans="1:1" ht="14.25" customHeight="1" x14ac:dyDescent="0.3">
      <c r="A956" s="34"/>
    </row>
    <row r="957" spans="1:1" ht="14.25" customHeight="1" x14ac:dyDescent="0.3">
      <c r="A957" s="34"/>
    </row>
    <row r="958" spans="1:1" ht="14.25" customHeight="1" x14ac:dyDescent="0.3">
      <c r="A958" s="34"/>
    </row>
    <row r="959" spans="1:1" ht="14.25" customHeight="1" x14ac:dyDescent="0.3">
      <c r="A959" s="34"/>
    </row>
    <row r="960" spans="1:1" ht="14.25" customHeight="1" x14ac:dyDescent="0.3">
      <c r="A960" s="34"/>
    </row>
    <row r="961" spans="1:1" ht="14.25" customHeight="1" x14ac:dyDescent="0.3">
      <c r="A961" s="34"/>
    </row>
    <row r="962" spans="1:1" ht="14.25" customHeight="1" x14ac:dyDescent="0.3">
      <c r="A962" s="34"/>
    </row>
    <row r="963" spans="1:1" ht="14.25" customHeight="1" x14ac:dyDescent="0.3">
      <c r="A963" s="34"/>
    </row>
    <row r="964" spans="1:1" ht="14.25" customHeight="1" x14ac:dyDescent="0.3">
      <c r="A964" s="34"/>
    </row>
    <row r="965" spans="1:1" ht="14.25" customHeight="1" x14ac:dyDescent="0.3">
      <c r="A965" s="34"/>
    </row>
    <row r="966" spans="1:1" ht="14.25" customHeight="1" x14ac:dyDescent="0.3">
      <c r="A966" s="34"/>
    </row>
    <row r="967" spans="1:1" ht="14.25" customHeight="1" x14ac:dyDescent="0.3">
      <c r="A967" s="34"/>
    </row>
    <row r="968" spans="1:1" ht="14.25" customHeight="1" x14ac:dyDescent="0.3">
      <c r="A968" s="34"/>
    </row>
    <row r="969" spans="1:1" ht="14.25" customHeight="1" x14ac:dyDescent="0.3">
      <c r="A969" s="34"/>
    </row>
    <row r="970" spans="1:1" ht="14.25" customHeight="1" x14ac:dyDescent="0.3">
      <c r="A970" s="34"/>
    </row>
    <row r="971" spans="1:1" ht="14.25" customHeight="1" x14ac:dyDescent="0.3">
      <c r="A971" s="34"/>
    </row>
    <row r="972" spans="1:1" ht="14.25" customHeight="1" x14ac:dyDescent="0.3">
      <c r="A972" s="34"/>
    </row>
    <row r="973" spans="1:1" ht="14.25" customHeight="1" x14ac:dyDescent="0.3">
      <c r="A973" s="34"/>
    </row>
    <row r="974" spans="1:1" ht="14.25" customHeight="1" x14ac:dyDescent="0.3">
      <c r="A974" s="34"/>
    </row>
    <row r="975" spans="1:1" ht="14.25" customHeight="1" x14ac:dyDescent="0.3">
      <c r="A975" s="34"/>
    </row>
    <row r="976" spans="1:1" ht="14.25" customHeight="1" x14ac:dyDescent="0.3">
      <c r="A976" s="34"/>
    </row>
    <row r="977" spans="1:1" ht="14.25" customHeight="1" x14ac:dyDescent="0.3">
      <c r="A977" s="34"/>
    </row>
    <row r="978" spans="1:1" ht="14.25" customHeight="1" x14ac:dyDescent="0.3">
      <c r="A978" s="34"/>
    </row>
    <row r="979" spans="1:1" ht="14.25" customHeight="1" x14ac:dyDescent="0.3">
      <c r="A979" s="34"/>
    </row>
    <row r="980" spans="1:1" ht="14.25" customHeight="1" x14ac:dyDescent="0.3">
      <c r="A980" s="34"/>
    </row>
    <row r="981" spans="1:1" ht="14.25" customHeight="1" x14ac:dyDescent="0.3">
      <c r="A981" s="34"/>
    </row>
    <row r="982" spans="1:1" ht="14.25" customHeight="1" x14ac:dyDescent="0.3">
      <c r="A982" s="34"/>
    </row>
    <row r="983" spans="1:1" ht="14.25" customHeight="1" x14ac:dyDescent="0.3">
      <c r="A983" s="34"/>
    </row>
    <row r="984" spans="1:1" ht="14.25" customHeight="1" x14ac:dyDescent="0.3">
      <c r="A984" s="34"/>
    </row>
    <row r="985" spans="1:1" ht="14.25" customHeight="1" x14ac:dyDescent="0.3">
      <c r="A985" s="34"/>
    </row>
    <row r="986" spans="1:1" ht="14.25" customHeight="1" x14ac:dyDescent="0.3">
      <c r="A986" s="34"/>
    </row>
    <row r="987" spans="1:1" ht="14.25" customHeight="1" x14ac:dyDescent="0.3">
      <c r="A987" s="34"/>
    </row>
    <row r="988" spans="1:1" ht="14.25" customHeight="1" x14ac:dyDescent="0.3">
      <c r="A988" s="34"/>
    </row>
    <row r="989" spans="1:1" ht="14.25" customHeight="1" x14ac:dyDescent="0.3">
      <c r="A989" s="34"/>
    </row>
    <row r="990" spans="1:1" ht="14.25" customHeight="1" x14ac:dyDescent="0.3">
      <c r="A990" s="34"/>
    </row>
    <row r="991" spans="1:1" ht="14.25" customHeight="1" x14ac:dyDescent="0.3">
      <c r="A991" s="34"/>
    </row>
    <row r="992" spans="1:1" ht="14.25" customHeight="1" x14ac:dyDescent="0.3">
      <c r="A992" s="34"/>
    </row>
    <row r="993" spans="1:1" ht="14.25" customHeight="1" x14ac:dyDescent="0.3">
      <c r="A993" s="34"/>
    </row>
    <row r="994" spans="1:1" ht="14.25" customHeight="1" x14ac:dyDescent="0.3">
      <c r="A994" s="34"/>
    </row>
    <row r="995" spans="1:1" ht="14.25" customHeight="1" x14ac:dyDescent="0.3">
      <c r="A995" s="34"/>
    </row>
    <row r="996" spans="1:1" ht="14.25" customHeight="1" x14ac:dyDescent="0.3">
      <c r="A996" s="34"/>
    </row>
    <row r="997" spans="1:1" ht="14.25" customHeight="1" x14ac:dyDescent="0.3">
      <c r="A997" s="34"/>
    </row>
    <row r="998" spans="1:1" ht="14.25" customHeight="1" x14ac:dyDescent="0.3">
      <c r="A998" s="34"/>
    </row>
    <row r="999" spans="1:1" ht="14.25" customHeight="1" x14ac:dyDescent="0.3">
      <c r="A999" s="34"/>
    </row>
  </sheetData>
  <autoFilter ref="A1:A999" xr:uid="{00000000-0009-0000-0000-000002000000}"/>
  <pageMargins left="0.70000000000000007" right="0.70000000000000007" top="1.0457000000000001" bottom="1.0457000000000001" header="0" footer="0"/>
  <pageSetup pageOrder="overThenDown"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APP</vt:lpstr>
      <vt:lpstr>data_validation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Ejay Rulona</cp:lastModifiedBy>
  <dcterms:created xsi:type="dcterms:W3CDTF">2017-12-08T03:24:52Z</dcterms:created>
  <dcterms:modified xsi:type="dcterms:W3CDTF">2026-05-13T13:22:30Z</dcterms:modified>
</cp:coreProperties>
</file>